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a7903a2ec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055f86f5be64fbf"/>
    <x:sheet xmlns:r="http://schemas.openxmlformats.org/officeDocument/2006/relationships" name="Weight_Scenarios" sheetId="2" r:id="R998fec5c81da40b4"/>
    <x:sheet xmlns:r="http://schemas.openxmlformats.org/officeDocument/2006/relationships" name="Signal_Rules" sheetId="3" r:id="R5d472d949c4e4a95"/>
    <x:sheet xmlns:r="http://schemas.openxmlformats.org/officeDocument/2006/relationships" name="Excluded_Signals" sheetId="4" r:id="R7a0085efb0b7416b"/>
    <x:sheet xmlns:r="http://schemas.openxmlformats.org/officeDocument/2006/relationships" name="Evidence" sheetId="5" r:id="R3cad578a89ff4318"/>
    <x:sheet xmlns:r="http://schemas.openxmlformats.org/officeDocument/2006/relationships" name="Checks" sheetId="6" r:id="Rfc773c8e5bb543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000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7F6000"/>
      <x:name val="Aptos"/>
    </x:font>
    <x:font>
      <x:sz val="11"/>
      <x:color rgb="FF1F2937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  <x:xf numFmtId="0" fontId="8" fillId="0" borderId="1" xfId="0" applyNumberFormat="1" applyFont="1" applyFill="1" applyBorder="1" applyAlignment="1">
      <x:alignment vertical="top"/>
    </x:xf>
    <x:xf numFmtId="0" fontId="8" fillId="0" borderId="2" xfId="0" applyNumberFormat="1" applyFont="1" applyFill="1" applyBorder="1" applyAlignment="1">
      <x:alignment vertical="top"/>
    </x:xf>
    <x:xf numFmtId="0" fontId="8" fillId="0" borderId="3" xfId="0" applyNumberFormat="1" applyFont="1" applyFill="1" applyBorder="1" applyAlignment="1">
      <x:alignment vertical="top"/>
    </x:xf>
    <x:xf numFmtId="200" fontId="8" fillId="0" borderId="1" xfId="0" applyNumberFormat="1" applyFont="1" applyFill="1" applyBorder="1" applyAlignment="1">
      <x:alignment vertical="top"/>
    </x:xf>
    <x:xf numFmtId="200" fontId="8" fillId="0" borderId="2" xfId="0" applyNumberFormat="1" applyFont="1" applyFill="1" applyBorder="1" applyAlignment="1">
      <x:alignment vertical="top"/>
    </x:xf>
    <x:xf numFmtId="200" fontId="8" fillId="0" borderId="3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5" fillId="0" borderId="0" xfId="0" applyNumberFormat="1" applyFont="1" applyFill="1" applyBorder="1"/>
    <x:xf numFmtId="0" fontId="6" fillId="2" borderId="1" xfId="0" applyNumberFormat="1" applyFont="1" applyFill="1" applyBorder="1"/>
    <x:xf numFmtId="0" fontId="5" fillId="0" borderId="2" xfId="0" applyNumberFormat="1" applyFont="1" applyFill="1" applyBorder="1"/>
    <x:xf numFmtId="201" fontId="5" fillId="0" borderId="2" xfId="0" applyNumberFormat="1" applyFont="1" applyFill="1" applyBorder="1"/>
    <x:xf numFmtId="0" fontId="5" fillId="0" borderId="3" xfId="0" applyNumberFormat="1" applyFont="1" applyFill="1" applyBorder="1"/>
    <x:xf numFmtId="201" fontId="5" fillId="0" borderId="3" xfId="0" applyNumberFormat="1" applyFont="1" applyFill="1" applyBorder="1"/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c8af48f24a4ac1" /><Relationship Type="http://schemas.openxmlformats.org/officeDocument/2006/relationships/theme" Target="/xl/theme/theme1.xml" Id="R03d7a9345f26439f" /><Relationship Type="http://schemas.openxmlformats.org/officeDocument/2006/relationships/sharedStrings" Target="/xl/sharedStrings.xml" Id="Rb5db0772e7994f07" /><Relationship Type="http://schemas.openxmlformats.org/officeDocument/2006/relationships/worksheet" Target="/xl/worksheets/sheet1.xml" Id="Rc055f86f5be64fbf" /><Relationship Type="http://schemas.openxmlformats.org/officeDocument/2006/relationships/worksheet" Target="/xl/worksheets/sheet2.xml" Id="R998fec5c81da40b4" /><Relationship Type="http://schemas.openxmlformats.org/officeDocument/2006/relationships/worksheet" Target="/xl/worksheets/sheet3.xml" Id="R5d472d949c4e4a95" /><Relationship Type="http://schemas.openxmlformats.org/officeDocument/2006/relationships/worksheet" Target="/xl/worksheets/sheet4.xml" Id="R7a0085efb0b7416b" /><Relationship Type="http://schemas.openxmlformats.org/officeDocument/2006/relationships/worksheet" Target="/xl/worksheets/sheet5.xml" Id="R3cad578a89ff4318" /><Relationship Type="http://schemas.openxmlformats.org/officeDocument/2006/relationships/worksheet" Target="/xl/worksheets/sheet6.xml" Id="Rfc773c8e5bb543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9" t="str">
        <x:v>Financial Scoring Rulebook — FIN_BASE_V1.0</x:v>
      </x:c>
      <x:c r="B1" s="9"/>
      <x:c r="C1" s="9"/>
      <x:c r="D1" s="9"/>
      <x:c r="E1" s="9"/>
      <x:c r="F1" s="9"/>
      <x:c r="G1" s="9"/>
      <x:c r="H1" s="9"/>
    </x:row>
    <x:row r="2">
      <x:c r="A2" s="9"/>
      <x:c r="B2" s="9"/>
      <x:c r="C2" s="9"/>
      <x:c r="D2" s="9"/>
      <x:c r="E2" s="9"/>
      <x:c r="F2" s="9"/>
      <x:c r="G2" s="9"/>
      <x:c r="H2" s="9"/>
    </x:row>
    <x:row r="3" ht="15" hidden="0" customHeight="1">
      <x:c r="A3" s="10"/>
      <x:c r="B3" s="10"/>
      <x:c r="C3" s="10"/>
      <x:c r="D3" s="10"/>
      <x:c r="E3" s="10"/>
      <x:c r="F3" s="10"/>
      <x:c r="G3" s="10"/>
      <x:c r="H3" s="10"/>
    </x:row>
    <x:row r="4" ht="15" hidden="0" customHeight="1">
      <x:c r="A4" s="11" t="str">
        <x:v>Field</x:v>
      </x:c>
      <x:c r="B4" s="11" t="str">
        <x:v>Value</x:v>
      </x:c>
      <x:c r="C4" s="10"/>
      <x:c r="D4" s="10"/>
      <x:c r="E4" s="10"/>
      <x:c r="F4" s="10"/>
      <x:c r="G4" s="10"/>
      <x:c r="H4" s="10"/>
    </x:row>
    <x:row r="5" ht="15" hidden="0" customHeight="1">
      <x:c r="A5" s="10" t="str">
        <x:v>Model ID</x:v>
      </x:c>
      <x:c r="B5" s="10" t="str">
        <x:v>FIN_BASE</x:v>
      </x:c>
      <x:c r="C5" s="10"/>
      <x:c r="D5" s="10"/>
      <x:c r="E5" s="10"/>
      <x:c r="F5" s="10"/>
      <x:c r="G5" s="10"/>
      <x:c r="H5" s="10"/>
    </x:row>
    <x:row r="6" ht="15" hidden="0" customHeight="1">
      <x:c r="A6" s="10" t="str">
        <x:v>Version</x:v>
      </x:c>
      <x:c r="B6" s="10" t="str">
        <x:v>1.0</x:v>
      </x:c>
      <x:c r="C6" s="10"/>
      <x:c r="D6" s="10"/>
      <x:c r="E6" s="10"/>
      <x:c r="F6" s="10"/>
      <x:c r="G6" s="10"/>
      <x:c r="H6" s="10"/>
    </x:row>
    <x:row r="7" ht="15" hidden="0" customHeight="1">
      <x:c r="A7" s="10" t="str">
        <x:v>Status</x:v>
      </x:c>
      <x:c r="B7" s="10" t="str">
        <x:v>Draft</x:v>
      </x:c>
      <x:c r="C7" s="10"/>
      <x:c r="D7" s="10"/>
      <x:c r="E7" s="10"/>
      <x:c r="F7" s="10"/>
      <x:c r="G7" s="10"/>
      <x:c r="H7" s="10"/>
    </x:row>
    <x:row r="8" ht="15" hidden="0" customHeight="1">
      <x:c r="A8" s="10" t="str">
        <x:v>Effective date</x:v>
      </x:c>
      <x:c r="B8" s="10" t="str">
        <x:v>2026-07-26</x:v>
      </x:c>
      <x:c r="C8" s="10"/>
      <x:c r="D8" s="10"/>
      <x:c r="E8" s="10"/>
      <x:c r="F8" s="10"/>
      <x:c r="G8" s="10"/>
      <x:c r="H8" s="10"/>
    </x:row>
    <x:row r="9" ht="15" hidden="0" customHeight="1">
      <x:c r="A9" s="10" t="str">
        <x:v>Dimensions</x:v>
      </x:c>
      <x:c r="B9" s="10" t="str">
        <x:v>Deepen / Grow / Defend</x:v>
      </x:c>
      <x:c r="C9" s="10"/>
      <x:c r="D9" s="10"/>
      <x:c r="E9" s="10"/>
      <x:c r="F9" s="10"/>
      <x:c r="G9" s="10"/>
      <x:c r="H9" s="10"/>
    </x:row>
    <x:row r="10" ht="15" hidden="0" customHeight="1">
      <x:c r="A10" s="10" t="str">
        <x:v>Weight scenarios</x:v>
      </x:c>
      <x:c r="B10" s="10" t="str">
        <x:v>EW / BASE / STATIC_FOCUS / DYNAMIC_FOCUS / CONSERVATIVE / OPPORTUNITY_FOCUS</x:v>
      </x:c>
      <x:c r="C10" s="10"/>
      <x:c r="D10" s="10"/>
      <x:c r="E10" s="10"/>
      <x:c r="F10" s="10"/>
      <x:c r="G10" s="10"/>
      <x:c r="H10" s="10"/>
    </x:row>
    <x:row r="11" ht="15" hidden="0" customHeight="1">
      <x:c r="A11" s="10" t="str">
        <x:v>Selection unit</x:v>
      </x:c>
      <x:c r="B11" s="10" t="str">
        <x:v>Select separately by dimension</x:v>
      </x:c>
      <x:c r="C11" s="10"/>
      <x:c r="D11" s="10"/>
      <x:c r="E11" s="10"/>
      <x:c r="F11" s="10"/>
      <x:c r="G11" s="10"/>
      <x:c r="H11" s="10"/>
    </x:row>
    <x:row r="12" ht="15" hidden="0" customHeight="1">
      <x:c r="A12" s="10"/>
      <x:c r="B12" s="10"/>
      <x:c r="C12" s="10"/>
      <x:c r="D12" s="10"/>
      <x:c r="E12" s="10"/>
      <x:c r="F12" s="10"/>
      <x:c r="G12" s="10"/>
      <x:c r="H12" s="10"/>
    </x:row>
    <x:row r="13" ht="15" hidden="0" customHeight="1">
      <x:c r="A13" s="11" t="str">
        <x:v>Decision protocol</x:v>
      </x:c>
      <x:c r="B13" s="11"/>
      <x:c r="C13" s="11"/>
      <x:c r="D13" s="11"/>
      <x:c r="E13" s="11"/>
      <x:c r="F13" s="11"/>
      <x:c r="G13" s="11"/>
      <x:c r="H13" s="11"/>
    </x:row>
    <x:row r="14" ht="15" hidden="0" customHeight="1">
      <x:c r="A14" s="12" t="str">
        <x:v>1. Reject scenarios that fail logic, coverage, leakage, or severe concentration checks.</x:v>
      </x:c>
      <x:c r="B14" s="12"/>
      <x:c r="C14" s="12"/>
      <x:c r="D14" s="12"/>
      <x:c r="E14" s="12"/>
      <x:c r="F14" s="12"/>
      <x:c r="G14" s="12"/>
      <x:c r="H14" s="12"/>
    </x:row>
    <x:row r="15" ht="15" hidden="0" customHeight="1">
      <x:c r="A15" s="12" t="str">
        <x:v>2. Compare ranking stability for surviving scenarios.</x:v>
      </x:c>
      <x:c r="B15" s="12"/>
      <x:c r="C15" s="12"/>
      <x:c r="D15" s="12"/>
      <x:c r="E15" s="12"/>
      <x:c r="F15" s="12"/>
      <x:c r="G15" s="12"/>
      <x:c r="H15" s="12"/>
    </x:row>
    <x:row r="16" ht="15" hidden="0" customHeight="1">
      <x:c r="A16" s="12" t="str">
        <x:v>3. Compare historical proxy performance for Grow and Defend.</x:v>
      </x:c>
      <x:c r="B16" s="12"/>
      <x:c r="C16" s="12"/>
      <x:c r="D16" s="12"/>
      <x:c r="E16" s="12"/>
      <x:c r="F16" s="12"/>
      <x:c r="G16" s="12"/>
      <x:c r="H16" s="12"/>
    </x:row>
    <x:row r="17" ht="15" hidden="0" customHeight="1">
      <x:c r="A17" s="12" t="str">
        <x:v>4. When confidence intervals overlap, prefer EW or BASE.</x:v>
      </x:c>
      <x:c r="B17" s="12"/>
      <x:c r="C17" s="12"/>
      <x:c r="D17" s="12"/>
      <x:c r="E17" s="12"/>
      <x:c r="F17" s="12"/>
      <x:c r="G17" s="12"/>
      <x:c r="H17" s="12"/>
    </x:row>
    <x:row r="18" ht="15" hidden="0" customHeight="1">
      <x:c r="A18" s="12" t="str">
        <x:v>5. Select Deepen using robustness, interpretability, and expert case review.</x:v>
      </x:c>
      <x:c r="B18" s="12"/>
      <x:c r="C18" s="12"/>
      <x:c r="D18" s="12"/>
      <x:c r="E18" s="12"/>
      <x:c r="F18" s="12"/>
      <x:c r="G18" s="12"/>
      <x:c r="H18" s="12"/>
    </x:row>
    <x:row r="19" ht="15" hidden="0" customHeight="1">
      <x:c r="A19" s="10"/>
      <x:c r="B19" s="10"/>
      <x:c r="C19" s="10"/>
      <x:c r="D19" s="10"/>
      <x:c r="E19" s="10"/>
      <x:c r="F19" s="10"/>
      <x:c r="G19" s="10"/>
      <x:c r="H19" s="10"/>
    </x:row>
    <x:row r="20" ht="15" hidden="0" customHeight="1">
      <x:c r="A20" s="13" t="str">
        <x:v>Important boundary</x:v>
      </x:c>
      <x:c r="B20" s="13"/>
      <x:c r="C20" s="13"/>
      <x:c r="D20" s="13"/>
      <x:c r="E20" s="13"/>
      <x:c r="F20" s="13"/>
      <x:c r="G20" s="13"/>
      <x:c r="H20" s="13"/>
    </x:row>
    <x:row r="21">
      <x:c r="A21" s="12" t="str">
        <x:v>These are public-data proxy scores, not verified Lloyds product-demand probabilities. Cluster and financial evidence tier are excluded from the base score.</x:v>
      </x:c>
      <x:c r="B21" s="12"/>
      <x:c r="C21" s="12"/>
      <x:c r="D21" s="12"/>
      <x:c r="E21" s="12"/>
      <x:c r="F21" s="12"/>
      <x:c r="G21" s="12"/>
      <x:c r="H21" s="12"/>
    </x:row>
    <x:row r="22">
      <x:c r="A22" s="12"/>
      <x:c r="B22" s="12"/>
      <x:c r="C22" s="12"/>
      <x:c r="D22" s="12"/>
      <x:c r="E22" s="12"/>
      <x:c r="F22" s="12"/>
      <x:c r="G22" s="12"/>
      <x:c r="H22" s="12"/>
    </x:row>
    <x:row r="23">
      <x:c r="A23" s="12"/>
      <x:c r="B23" s="12"/>
      <x:c r="C23" s="12"/>
      <x:c r="D23" s="12"/>
      <x:c r="E23" s="12"/>
      <x:c r="F23" s="12"/>
      <x:c r="G23" s="12"/>
      <x:c r="H23" s="12"/>
    </x:row>
  </x:sheetData>
  <x:mergeCells>
    <x:mergeCell ref="A1:H2"/>
    <x:mergeCell ref="A13:H13"/>
    <x:mergeCell ref="A14:H14"/>
    <x:mergeCell ref="A15:H15"/>
    <x:mergeCell ref="A16:H16"/>
    <x:mergeCell ref="A17:H17"/>
    <x:mergeCell ref="A18:H18"/>
    <x:mergeCell ref="A20:H20"/>
    <x:mergeCell ref="A21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9.380000114440918" hidden="0" customWidth="1"/>
    <x:col min="4" max="4" width="27" hidden="0" customWidth="1"/>
    <x:col min="5" max="5" width="27" hidden="0" customWidth="1"/>
    <x:col min="6" max="6" width="11.630000114440918" hidden="0" customWidth="1"/>
    <x:col min="7" max="7" width="48" hidden="0" customWidth="1"/>
    <x:col min="8" max="8" width="5.75" hidden="0" customWidth="1"/>
    <x:col min="9" max="9" width="12" hidden="0" customWidth="1"/>
  </x:cols>
  <x:sheetData>
    <x:row r="1">
      <x:c r="A1" s="24" t="str">
        <x:v>scenario_id</x:v>
      </x:c>
      <x:c r="B1" s="24" t="str">
        <x:v>scenario_name_cn</x:v>
      </x:c>
      <x:c r="C1" s="24" t="str">
        <x:v>dimension</x:v>
      </x:c>
      <x:c r="D1" s="24" t="str">
        <x:v>block_id</x:v>
      </x:c>
      <x:c r="E1" s="24" t="str">
        <x:v>block_name_cn</x:v>
      </x:c>
      <x:c r="F1" s="24" t="str">
        <x:v>block_weight</x:v>
      </x:c>
      <x:c r="G1" s="24" t="str">
        <x:v>rationale_cn</x:v>
      </x:c>
      <x:c r="H1" s="24" t="str">
        <x:v>status</x:v>
      </x:c>
      <x:c r="I1" s="24" t="str">
        <x:v>version</x:v>
      </x:c>
    </x:row>
    <x:row r="2">
      <x:c r="A2" s="18" t="str">
        <x:v>EW</x:v>
      </x:c>
      <x:c r="B2" s="18" t="str">
        <x:v>块等权</x:v>
      </x:c>
      <x:c r="C2" s="18" t="str">
        <x:v>Deepen</x:v>
      </x:c>
      <x:c r="D2" s="18" t="str">
        <x:v>D1_SCALE_COMPLEXITY</x:v>
      </x:c>
      <x:c r="E2" s="18" t="str">
        <x:v>规模与复杂度</x:v>
      </x:c>
      <x:c r="F2" s="21" t="n">
        <x:v>0.333333</x:v>
      </x:c>
      <x:c r="G2" s="25" t="str">
        <x:v>最少主观假设的对照方案</x:v>
      </x:c>
      <x:c r="H2" s="18" t="str">
        <x:v>active</x:v>
      </x:c>
      <x:c r="I2" s="18" t="str">
        <x:v>FIN_BASE_V1.0</x:v>
      </x:c>
    </x:row>
    <x:row r="3">
      <x:c r="A3" s="19" t="str">
        <x:v>EW</x:v>
      </x:c>
      <x:c r="B3" s="19" t="str">
        <x:v>块等权</x:v>
      </x:c>
      <x:c r="C3" s="19" t="str">
        <x:v>Deepen</x:v>
      </x:c>
      <x:c r="D3" s="19" t="str">
        <x:v>D2_PRODUCT_STRUCTURE</x:v>
      </x:c>
      <x:c r="E3" s="19" t="str">
        <x:v>产品相关结构</x:v>
      </x:c>
      <x:c r="F3" s="22" t="n">
        <x:v>0.333333</x:v>
      </x:c>
      <x:c r="G3" s="26" t="str">
        <x:v>最少主观假设的对照方案</x:v>
      </x:c>
      <x:c r="H3" s="19" t="str">
        <x:v>active</x:v>
      </x:c>
      <x:c r="I3" s="19" t="str">
        <x:v>FIN_BASE_V1.0</x:v>
      </x:c>
    </x:row>
    <x:row r="4">
      <x:c r="A4" s="19" t="str">
        <x:v>EW</x:v>
      </x:c>
      <x:c r="B4" s="19" t="str">
        <x:v>块等权</x:v>
      </x:c>
      <x:c r="C4" s="19" t="str">
        <x:v>Deepen</x:v>
      </x:c>
      <x:c r="D4" s="19" t="str">
        <x:v>D3_ACTIVITY_MOMENTUM</x:v>
      </x:c>
      <x:c r="E4" s="19" t="str">
        <x:v>业务活动动量</x:v>
      </x:c>
      <x:c r="F4" s="22" t="n">
        <x:v>0.333334</x:v>
      </x:c>
      <x:c r="G4" s="26" t="str">
        <x:v>最少主观假设的对照方案</x:v>
      </x:c>
      <x:c r="H4" s="19" t="str">
        <x:v>active</x:v>
      </x:c>
      <x:c r="I4" s="19" t="str">
        <x:v>FIN_BASE_V1.0</x:v>
      </x:c>
    </x:row>
    <x:row r="5">
      <x:c r="A5" s="19" t="str">
        <x:v>EW</x:v>
      </x:c>
      <x:c r="B5" s="19" t="str">
        <x:v>块等权</x:v>
      </x:c>
      <x:c r="C5" s="19" t="str">
        <x:v>Grow</x:v>
      </x:c>
      <x:c r="D5" s="19" t="str">
        <x:v>G1_EXPANSION</x:v>
      </x:c>
      <x:c r="E5" s="19" t="str">
        <x:v>扩张动量</x:v>
      </x:c>
      <x:c r="F5" s="22" t="n">
        <x:v>0.333333</x:v>
      </x:c>
      <x:c r="G5" s="26" t="str">
        <x:v>最少主观假设的对照方案</x:v>
      </x:c>
      <x:c r="H5" s="19" t="str">
        <x:v>active</x:v>
      </x:c>
      <x:c r="I5" s="19" t="str">
        <x:v>FIN_BASE_V1.0</x:v>
      </x:c>
    </x:row>
    <x:row r="6">
      <x:c r="A6" s="19" t="str">
        <x:v>EW</x:v>
      </x:c>
      <x:c r="B6" s="19" t="str">
        <x:v>块等权</x:v>
      </x:c>
      <x:c r="C6" s="19" t="str">
        <x:v>Grow</x:v>
      </x:c>
      <x:c r="D6" s="19" t="str">
        <x:v>G2_FUNDING_GAP</x:v>
      </x:c>
      <x:c r="E6" s="19" t="str">
        <x:v>扩张中的资金缺口</x:v>
      </x:c>
      <x:c r="F6" s="22" t="n">
        <x:v>0.333333</x:v>
      </x:c>
      <x:c r="G6" s="26" t="str">
        <x:v>最少主观假设的对照方案</x:v>
      </x:c>
      <x:c r="H6" s="19" t="str">
        <x:v>active</x:v>
      </x:c>
      <x:c r="I6" s="19" t="str">
        <x:v>FIN_BASE_V1.0</x:v>
      </x:c>
    </x:row>
    <x:row r="7">
      <x:c r="A7" s="19" t="str">
        <x:v>EW</x:v>
      </x:c>
      <x:c r="B7" s="19" t="str">
        <x:v>块等权</x:v>
      </x:c>
      <x:c r="C7" s="19" t="str">
        <x:v>Grow</x:v>
      </x:c>
      <x:c r="D7" s="19" t="str">
        <x:v>G3_CAPACITY</x:v>
      </x:c>
      <x:c r="E7" s="19" t="str">
        <x:v>财务承载能力</x:v>
      </x:c>
      <x:c r="F7" s="22" t="n">
        <x:v>0.333334</x:v>
      </x:c>
      <x:c r="G7" s="26" t="str">
        <x:v>最少主观假设的对照方案</x:v>
      </x:c>
      <x:c r="H7" s="19" t="str">
        <x:v>active</x:v>
      </x:c>
      <x:c r="I7" s="19" t="str">
        <x:v>FIN_BASE_V1.0</x:v>
      </x:c>
    </x:row>
    <x:row r="8">
      <x:c r="A8" s="19" t="str">
        <x:v>EW</x:v>
      </x:c>
      <x:c r="B8" s="19" t="str">
        <x:v>块等权</x:v>
      </x:c>
      <x:c r="C8" s="19" t="str">
        <x:v>Defend</x:v>
      </x:c>
      <x:c r="D8" s="19" t="str">
        <x:v>F1_CURRENT_STRESS</x:v>
      </x:c>
      <x:c r="E8" s="19" t="str">
        <x:v>当前财务压力</x:v>
      </x:c>
      <x:c r="F8" s="22" t="n">
        <x:v>0.333333</x:v>
      </x:c>
      <x:c r="G8" s="26" t="str">
        <x:v>最少主观假设的对照方案</x:v>
      </x:c>
      <x:c r="H8" s="19" t="str">
        <x:v>active</x:v>
      </x:c>
      <x:c r="I8" s="19" t="str">
        <x:v>FIN_BASE_V1.0</x:v>
      </x:c>
    </x:row>
    <x:row r="9">
      <x:c r="A9" s="19" t="str">
        <x:v>EW</x:v>
      </x:c>
      <x:c r="B9" s="19" t="str">
        <x:v>块等权</x:v>
      </x:c>
      <x:c r="C9" s="19" t="str">
        <x:v>Defend</x:v>
      </x:c>
      <x:c r="D9" s="19" t="str">
        <x:v>F2_DETERIORATION</x:v>
      </x:c>
      <x:c r="E9" s="19" t="str">
        <x:v>财务恶化动量</x:v>
      </x:c>
      <x:c r="F9" s="22" t="n">
        <x:v>0.333333</x:v>
      </x:c>
      <x:c r="G9" s="26" t="str">
        <x:v>最少主观假设的对照方案</x:v>
      </x:c>
      <x:c r="H9" s="19" t="str">
        <x:v>active</x:v>
      </x:c>
      <x:c r="I9" s="19" t="str">
        <x:v>FIN_BASE_V1.0</x:v>
      </x:c>
    </x:row>
    <x:row r="10">
      <x:c r="A10" s="19" t="str">
        <x:v>EW</x:v>
      </x:c>
      <x:c r="B10" s="19" t="str">
        <x:v>块等权</x:v>
      </x:c>
      <x:c r="C10" s="19" t="str">
        <x:v>Defend</x:v>
      </x:c>
      <x:c r="D10" s="19" t="str">
        <x:v>F3_TRAJECTORY</x:v>
      </x:c>
      <x:c r="E10" s="19" t="str">
        <x:v>风险轨迹</x:v>
      </x:c>
      <x:c r="F10" s="22" t="n">
        <x:v>0.333334</x:v>
      </x:c>
      <x:c r="G10" s="26" t="str">
        <x:v>最少主观假设的对照方案</x:v>
      </x:c>
      <x:c r="H10" s="19" t="str">
        <x:v>active</x:v>
      </x:c>
      <x:c r="I10" s="19" t="str">
        <x:v>FIN_BASE_V1.0</x:v>
      </x:c>
    </x:row>
    <x:row r="11">
      <x:c r="A11" s="19" t="str">
        <x:v>BASE</x:v>
      </x:c>
      <x:c r="B11" s="19" t="str">
        <x:v>理论基准</x:v>
      </x:c>
      <x:c r="C11" s="19" t="str">
        <x:v>Deepen</x:v>
      </x:c>
      <x:c r="D11" s="19" t="str">
        <x:v>D1_SCALE_COMPLEXITY</x:v>
      </x:c>
      <x:c r="E11" s="19" t="str">
        <x:v>规模与复杂度</x:v>
      </x:c>
      <x:c r="F11" s="22" t="n">
        <x:v>0.5</x:v>
      </x:c>
      <x:c r="G11" s="26" t="str">
        <x:v>当前方法论基准</x:v>
      </x:c>
      <x:c r="H11" s="19" t="str">
        <x:v>active</x:v>
      </x:c>
      <x:c r="I11" s="19" t="str">
        <x:v>FIN_BASE_V1.0</x:v>
      </x:c>
    </x:row>
    <x:row r="12">
      <x:c r="A12" s="19" t="str">
        <x:v>BASE</x:v>
      </x:c>
      <x:c r="B12" s="19" t="str">
        <x:v>理论基准</x:v>
      </x:c>
      <x:c r="C12" s="19" t="str">
        <x:v>Deepen</x:v>
      </x:c>
      <x:c r="D12" s="19" t="str">
        <x:v>D2_PRODUCT_STRUCTURE</x:v>
      </x:c>
      <x:c r="E12" s="19" t="str">
        <x:v>产品相关结构</x:v>
      </x:c>
      <x:c r="F12" s="22" t="n">
        <x:v>0.3</x:v>
      </x:c>
      <x:c r="G12" s="26" t="str">
        <x:v>当前方法论基准</x:v>
      </x:c>
      <x:c r="H12" s="19" t="str">
        <x:v>active</x:v>
      </x:c>
      <x:c r="I12" s="19" t="str">
        <x:v>FIN_BASE_V1.0</x:v>
      </x:c>
    </x:row>
    <x:row r="13">
      <x:c r="A13" s="19" t="str">
        <x:v>BASE</x:v>
      </x:c>
      <x:c r="B13" s="19" t="str">
        <x:v>理论基准</x:v>
      </x:c>
      <x:c r="C13" s="19" t="str">
        <x:v>Deepen</x:v>
      </x:c>
      <x:c r="D13" s="19" t="str">
        <x:v>D3_ACTIVITY_MOMENTUM</x:v>
      </x:c>
      <x:c r="E13" s="19" t="str">
        <x:v>业务活动动量</x:v>
      </x:c>
      <x:c r="F13" s="22" t="n">
        <x:v>0.2</x:v>
      </x:c>
      <x:c r="G13" s="26" t="str">
        <x:v>当前方法论基准</x:v>
      </x:c>
      <x:c r="H13" s="19" t="str">
        <x:v>active</x:v>
      </x:c>
      <x:c r="I13" s="19" t="str">
        <x:v>FIN_BASE_V1.0</x:v>
      </x:c>
    </x:row>
    <x:row r="14">
      <x:c r="A14" s="19" t="str">
        <x:v>BASE</x:v>
      </x:c>
      <x:c r="B14" s="19" t="str">
        <x:v>理论基准</x:v>
      </x:c>
      <x:c r="C14" s="19" t="str">
        <x:v>Grow</x:v>
      </x:c>
      <x:c r="D14" s="19" t="str">
        <x:v>G1_EXPANSION</x:v>
      </x:c>
      <x:c r="E14" s="19" t="str">
        <x:v>扩张动量</x:v>
      </x:c>
      <x:c r="F14" s="22" t="n">
        <x:v>0.6</x:v>
      </x:c>
      <x:c r="G14" s="26" t="str">
        <x:v>当前方法论基准</x:v>
      </x:c>
      <x:c r="H14" s="19" t="str">
        <x:v>active</x:v>
      </x:c>
      <x:c r="I14" s="19" t="str">
        <x:v>FIN_BASE_V1.0</x:v>
      </x:c>
    </x:row>
    <x:row r="15">
      <x:c r="A15" s="19" t="str">
        <x:v>BASE</x:v>
      </x:c>
      <x:c r="B15" s="19" t="str">
        <x:v>理论基准</x:v>
      </x:c>
      <x:c r="C15" s="19" t="str">
        <x:v>Grow</x:v>
      </x:c>
      <x:c r="D15" s="19" t="str">
        <x:v>G2_FUNDING_GAP</x:v>
      </x:c>
      <x:c r="E15" s="19" t="str">
        <x:v>扩张中的资金缺口</x:v>
      </x:c>
      <x:c r="F15" s="22" t="n">
        <x:v>0.25</x:v>
      </x:c>
      <x:c r="G15" s="26" t="str">
        <x:v>当前方法论基准</x:v>
      </x:c>
      <x:c r="H15" s="19" t="str">
        <x:v>active</x:v>
      </x:c>
      <x:c r="I15" s="19" t="str">
        <x:v>FIN_BASE_V1.0</x:v>
      </x:c>
    </x:row>
    <x:row r="16">
      <x:c r="A16" s="19" t="str">
        <x:v>BASE</x:v>
      </x:c>
      <x:c r="B16" s="19" t="str">
        <x:v>理论基准</x:v>
      </x:c>
      <x:c r="C16" s="19" t="str">
        <x:v>Grow</x:v>
      </x:c>
      <x:c r="D16" s="19" t="str">
        <x:v>G3_CAPACITY</x:v>
      </x:c>
      <x:c r="E16" s="19" t="str">
        <x:v>财务承载能力</x:v>
      </x:c>
      <x:c r="F16" s="22" t="n">
        <x:v>0.15</x:v>
      </x:c>
      <x:c r="G16" s="26" t="str">
        <x:v>当前方法论基准</x:v>
      </x:c>
      <x:c r="H16" s="19" t="str">
        <x:v>active</x:v>
      </x:c>
      <x:c r="I16" s="19" t="str">
        <x:v>FIN_BASE_V1.0</x:v>
      </x:c>
    </x:row>
    <x:row r="17">
      <x:c r="A17" s="19" t="str">
        <x:v>BASE</x:v>
      </x:c>
      <x:c r="B17" s="19" t="str">
        <x:v>理论基准</x:v>
      </x:c>
      <x:c r="C17" s="19" t="str">
        <x:v>Defend</x:v>
      </x:c>
      <x:c r="D17" s="19" t="str">
        <x:v>F1_CURRENT_STRESS</x:v>
      </x:c>
      <x:c r="E17" s="19" t="str">
        <x:v>当前财务压力</x:v>
      </x:c>
      <x:c r="F17" s="22" t="n">
        <x:v>0.5</x:v>
      </x:c>
      <x:c r="G17" s="26" t="str">
        <x:v>当前方法论基准</x:v>
      </x:c>
      <x:c r="H17" s="19" t="str">
        <x:v>active</x:v>
      </x:c>
      <x:c r="I17" s="19" t="str">
        <x:v>FIN_BASE_V1.0</x:v>
      </x:c>
    </x:row>
    <x:row r="18">
      <x:c r="A18" s="19" t="str">
        <x:v>BASE</x:v>
      </x:c>
      <x:c r="B18" s="19" t="str">
        <x:v>理论基准</x:v>
      </x:c>
      <x:c r="C18" s="19" t="str">
        <x:v>Defend</x:v>
      </x:c>
      <x:c r="D18" s="19" t="str">
        <x:v>F2_DETERIORATION</x:v>
      </x:c>
      <x:c r="E18" s="19" t="str">
        <x:v>财务恶化动量</x:v>
      </x:c>
      <x:c r="F18" s="22" t="n">
        <x:v>0.35</x:v>
      </x:c>
      <x:c r="G18" s="26" t="str">
        <x:v>当前方法论基准</x:v>
      </x:c>
      <x:c r="H18" s="19" t="str">
        <x:v>active</x:v>
      </x:c>
      <x:c r="I18" s="19" t="str">
        <x:v>FIN_BASE_V1.0</x:v>
      </x:c>
    </x:row>
    <x:row r="19">
      <x:c r="A19" s="19" t="str">
        <x:v>BASE</x:v>
      </x:c>
      <x:c r="B19" s="19" t="str">
        <x:v>理论基准</x:v>
      </x:c>
      <x:c r="C19" s="19" t="str">
        <x:v>Defend</x:v>
      </x:c>
      <x:c r="D19" s="19" t="str">
        <x:v>F3_TRAJECTORY</x:v>
      </x:c>
      <x:c r="E19" s="19" t="str">
        <x:v>风险轨迹</x:v>
      </x:c>
      <x:c r="F19" s="22" t="n">
        <x:v>0.15</x:v>
      </x:c>
      <x:c r="G19" s="26" t="str">
        <x:v>当前方法论基准</x:v>
      </x:c>
      <x:c r="H19" s="19" t="str">
        <x:v>active</x:v>
      </x:c>
      <x:c r="I19" s="19" t="str">
        <x:v>FIN_BASE_V1.0</x:v>
      </x:c>
    </x:row>
    <x:row r="20">
      <x:c r="A20" s="19" t="str">
        <x:v>STATIC_FOCUS</x:v>
      </x:c>
      <x:c r="B20" s="19" t="str">
        <x:v>静态状态主导</x:v>
      </x:c>
      <x:c r="C20" s="19" t="str">
        <x:v>Deepen</x:v>
      </x:c>
      <x:c r="D20" s="19" t="str">
        <x:v>D1_SCALE_COMPLEXITY</x:v>
      </x:c>
      <x:c r="E20" s="19" t="str">
        <x:v>规模与复杂度</x:v>
      </x:c>
      <x:c r="F20" s="22" t="n">
        <x:v>0.65</x:v>
      </x:c>
      <x:c r="G20" s="26" t="str">
        <x:v>检验当前规模结构主导的排名</x:v>
      </x:c>
      <x:c r="H20" s="19" t="str">
        <x:v>active</x:v>
      </x:c>
      <x:c r="I20" s="19" t="str">
        <x:v>FIN_BASE_V1.0</x:v>
      </x:c>
    </x:row>
    <x:row r="21">
      <x:c r="A21" s="19" t="str">
        <x:v>STATIC_FOCUS</x:v>
      </x:c>
      <x:c r="B21" s="19" t="str">
        <x:v>静态状态主导</x:v>
      </x:c>
      <x:c r="C21" s="19" t="str">
        <x:v>Deepen</x:v>
      </x:c>
      <x:c r="D21" s="19" t="str">
        <x:v>D2_PRODUCT_STRUCTURE</x:v>
      </x:c>
      <x:c r="E21" s="19" t="str">
        <x:v>产品相关结构</x:v>
      </x:c>
      <x:c r="F21" s="22" t="n">
        <x:v>0.25</x:v>
      </x:c>
      <x:c r="G21" s="26" t="str">
        <x:v>检验当前规模结构主导的排名</x:v>
      </x:c>
      <x:c r="H21" s="19" t="str">
        <x:v>active</x:v>
      </x:c>
      <x:c r="I21" s="19" t="str">
        <x:v>FIN_BASE_V1.0</x:v>
      </x:c>
    </x:row>
    <x:row r="22">
      <x:c r="A22" s="19" t="str">
        <x:v>STATIC_FOCUS</x:v>
      </x:c>
      <x:c r="B22" s="19" t="str">
        <x:v>静态状态主导</x:v>
      </x:c>
      <x:c r="C22" s="19" t="str">
        <x:v>Deepen</x:v>
      </x:c>
      <x:c r="D22" s="19" t="str">
        <x:v>D3_ACTIVITY_MOMENTUM</x:v>
      </x:c>
      <x:c r="E22" s="19" t="str">
        <x:v>业务活动动量</x:v>
      </x:c>
      <x:c r="F22" s="22" t="n">
        <x:v>0.1</x:v>
      </x:c>
      <x:c r="G22" s="26" t="str">
        <x:v>检验当前规模结构主导的排名</x:v>
      </x:c>
      <x:c r="H22" s="19" t="str">
        <x:v>active</x:v>
      </x:c>
      <x:c r="I22" s="19" t="str">
        <x:v>FIN_BASE_V1.0</x:v>
      </x:c>
    </x:row>
    <x:row r="23">
      <x:c r="A23" s="19" t="str">
        <x:v>STATIC_FOCUS</x:v>
      </x:c>
      <x:c r="B23" s="19" t="str">
        <x:v>静态状态主导</x:v>
      </x:c>
      <x:c r="C23" s="19" t="str">
        <x:v>Grow</x:v>
      </x:c>
      <x:c r="D23" s="19" t="str">
        <x:v>G1_EXPANSION</x:v>
      </x:c>
      <x:c r="E23" s="19" t="str">
        <x:v>扩张动量</x:v>
      </x:c>
      <x:c r="F23" s="22" t="n">
        <x:v>0.45</x:v>
      </x:c>
      <x:c r="G23" s="26" t="str">
        <x:v>提高承载能力并降低变化主导程度</x:v>
      </x:c>
      <x:c r="H23" s="19" t="str">
        <x:v>active</x:v>
      </x:c>
      <x:c r="I23" s="19" t="str">
        <x:v>FIN_BASE_V1.0</x:v>
      </x:c>
    </x:row>
    <x:row r="24">
      <x:c r="A24" s="19" t="str">
        <x:v>STATIC_FOCUS</x:v>
      </x:c>
      <x:c r="B24" s="19" t="str">
        <x:v>静态状态主导</x:v>
      </x:c>
      <x:c r="C24" s="19" t="str">
        <x:v>Grow</x:v>
      </x:c>
      <x:c r="D24" s="19" t="str">
        <x:v>G2_FUNDING_GAP</x:v>
      </x:c>
      <x:c r="E24" s="19" t="str">
        <x:v>扩张中的资金缺口</x:v>
      </x:c>
      <x:c r="F24" s="22" t="n">
        <x:v>0.2</x:v>
      </x:c>
      <x:c r="G24" s="26" t="str">
        <x:v>提高承载能力并降低变化主导程度</x:v>
      </x:c>
      <x:c r="H24" s="19" t="str">
        <x:v>active</x:v>
      </x:c>
      <x:c r="I24" s="19" t="str">
        <x:v>FIN_BASE_V1.0</x:v>
      </x:c>
    </x:row>
    <x:row r="25">
      <x:c r="A25" s="19" t="str">
        <x:v>STATIC_FOCUS</x:v>
      </x:c>
      <x:c r="B25" s="19" t="str">
        <x:v>静态状态主导</x:v>
      </x:c>
      <x:c r="C25" s="19" t="str">
        <x:v>Grow</x:v>
      </x:c>
      <x:c r="D25" s="19" t="str">
        <x:v>G3_CAPACITY</x:v>
      </x:c>
      <x:c r="E25" s="19" t="str">
        <x:v>财务承载能力</x:v>
      </x:c>
      <x:c r="F25" s="22" t="n">
        <x:v>0.35</x:v>
      </x:c>
      <x:c r="G25" s="26" t="str">
        <x:v>提高承载能力并降低变化主导程度</x:v>
      </x:c>
      <x:c r="H25" s="19" t="str">
        <x:v>active</x:v>
      </x:c>
      <x:c r="I25" s="19" t="str">
        <x:v>FIN_BASE_V1.0</x:v>
      </x:c>
    </x:row>
    <x:row r="26">
      <x:c r="A26" s="19" t="str">
        <x:v>STATIC_FOCUS</x:v>
      </x:c>
      <x:c r="B26" s="19" t="str">
        <x:v>静态状态主导</x:v>
      </x:c>
      <x:c r="C26" s="19" t="str">
        <x:v>Defend</x:v>
      </x:c>
      <x:c r="D26" s="19" t="str">
        <x:v>F1_CURRENT_STRESS</x:v>
      </x:c>
      <x:c r="E26" s="19" t="str">
        <x:v>当前财务压力</x:v>
      </x:c>
      <x:c r="F26" s="22" t="n">
        <x:v>0.65</x:v>
      </x:c>
      <x:c r="G26" s="26" t="str">
        <x:v>检验当前压力状态主导的风险排序</x:v>
      </x:c>
      <x:c r="H26" s="19" t="str">
        <x:v>active</x:v>
      </x:c>
      <x:c r="I26" s="19" t="str">
        <x:v>FIN_BASE_V1.0</x:v>
      </x:c>
    </x:row>
    <x:row r="27">
      <x:c r="A27" s="19" t="str">
        <x:v>STATIC_FOCUS</x:v>
      </x:c>
      <x:c r="B27" s="19" t="str">
        <x:v>静态状态主导</x:v>
      </x:c>
      <x:c r="C27" s="19" t="str">
        <x:v>Defend</x:v>
      </x:c>
      <x:c r="D27" s="19" t="str">
        <x:v>F2_DETERIORATION</x:v>
      </x:c>
      <x:c r="E27" s="19" t="str">
        <x:v>财务恶化动量</x:v>
      </x:c>
      <x:c r="F27" s="22" t="n">
        <x:v>0.25</x:v>
      </x:c>
      <x:c r="G27" s="26" t="str">
        <x:v>检验当前压力状态主导的风险排序</x:v>
      </x:c>
      <x:c r="H27" s="19" t="str">
        <x:v>active</x:v>
      </x:c>
      <x:c r="I27" s="19" t="str">
        <x:v>FIN_BASE_V1.0</x:v>
      </x:c>
    </x:row>
    <x:row r="28">
      <x:c r="A28" s="19" t="str">
        <x:v>STATIC_FOCUS</x:v>
      </x:c>
      <x:c r="B28" s="19" t="str">
        <x:v>静态状态主导</x:v>
      </x:c>
      <x:c r="C28" s="19" t="str">
        <x:v>Defend</x:v>
      </x:c>
      <x:c r="D28" s="19" t="str">
        <x:v>F3_TRAJECTORY</x:v>
      </x:c>
      <x:c r="E28" s="19" t="str">
        <x:v>风险轨迹</x:v>
      </x:c>
      <x:c r="F28" s="22" t="n">
        <x:v>0.1</x:v>
      </x:c>
      <x:c r="G28" s="26" t="str">
        <x:v>检验当前压力状态主导的风险排序</x:v>
      </x:c>
      <x:c r="H28" s="19" t="str">
        <x:v>active</x:v>
      </x:c>
      <x:c r="I28" s="19" t="str">
        <x:v>FIN_BASE_V1.0</x:v>
      </x:c>
    </x:row>
    <x:row r="29">
      <x:c r="A29" s="19" t="str">
        <x:v>DYNAMIC_FOCUS</x:v>
      </x:c>
      <x:c r="B29" s="19" t="str">
        <x:v>变化动量主导</x:v>
      </x:c>
      <x:c r="C29" s="19" t="str">
        <x:v>Deepen</x:v>
      </x:c>
      <x:c r="D29" s="19" t="str">
        <x:v>D1_SCALE_COMPLEXITY</x:v>
      </x:c>
      <x:c r="E29" s="19" t="str">
        <x:v>规模与复杂度</x:v>
      </x:c>
      <x:c r="F29" s="22" t="n">
        <x:v>0.35</x:v>
      </x:c>
      <x:c r="G29" s="26" t="str">
        <x:v>检验近期活动变化是否提供更强区分</x:v>
      </x:c>
      <x:c r="H29" s="19" t="str">
        <x:v>active</x:v>
      </x:c>
      <x:c r="I29" s="19" t="str">
        <x:v>FIN_BASE_V1.0</x:v>
      </x:c>
    </x:row>
    <x:row r="30">
      <x:c r="A30" s="19" t="str">
        <x:v>DYNAMIC_FOCUS</x:v>
      </x:c>
      <x:c r="B30" s="19" t="str">
        <x:v>变化动量主导</x:v>
      </x:c>
      <x:c r="C30" s="19" t="str">
        <x:v>Deepen</x:v>
      </x:c>
      <x:c r="D30" s="19" t="str">
        <x:v>D2_PRODUCT_STRUCTURE</x:v>
      </x:c>
      <x:c r="E30" s="19" t="str">
        <x:v>产品相关结构</x:v>
      </x:c>
      <x:c r="F30" s="22" t="n">
        <x:v>0.2</x:v>
      </x:c>
      <x:c r="G30" s="26" t="str">
        <x:v>检验近期活动变化是否提供更强区分</x:v>
      </x:c>
      <x:c r="H30" s="19" t="str">
        <x:v>active</x:v>
      </x:c>
      <x:c r="I30" s="19" t="str">
        <x:v>FIN_BASE_V1.0</x:v>
      </x:c>
    </x:row>
    <x:row r="31">
      <x:c r="A31" s="19" t="str">
        <x:v>DYNAMIC_FOCUS</x:v>
      </x:c>
      <x:c r="B31" s="19" t="str">
        <x:v>变化动量主导</x:v>
      </x:c>
      <x:c r="C31" s="19" t="str">
        <x:v>Deepen</x:v>
      </x:c>
      <x:c r="D31" s="19" t="str">
        <x:v>D3_ACTIVITY_MOMENTUM</x:v>
      </x:c>
      <x:c r="E31" s="19" t="str">
        <x:v>业务活动动量</x:v>
      </x:c>
      <x:c r="F31" s="22" t="n">
        <x:v>0.45</x:v>
      </x:c>
      <x:c r="G31" s="26" t="str">
        <x:v>检验近期活动变化是否提供更强区分</x:v>
      </x:c>
      <x:c r="H31" s="19" t="str">
        <x:v>active</x:v>
      </x:c>
      <x:c r="I31" s="19" t="str">
        <x:v>FIN_BASE_V1.0</x:v>
      </x:c>
    </x:row>
    <x:row r="32">
      <x:c r="A32" s="19" t="str">
        <x:v>DYNAMIC_FOCUS</x:v>
      </x:c>
      <x:c r="B32" s="19" t="str">
        <x:v>变化动量主导</x:v>
      </x:c>
      <x:c r="C32" s="19" t="str">
        <x:v>Grow</x:v>
      </x:c>
      <x:c r="D32" s="19" t="str">
        <x:v>G1_EXPANSION</x:v>
      </x:c>
      <x:c r="E32" s="19" t="str">
        <x:v>扩张动量</x:v>
      </x:c>
      <x:c r="F32" s="22" t="n">
        <x:v>0.7</x:v>
      </x:c>
      <x:c r="G32" s="26" t="str">
        <x:v>检验扩张变化主导的增长排序</x:v>
      </x:c>
      <x:c r="H32" s="19" t="str">
        <x:v>active</x:v>
      </x:c>
      <x:c r="I32" s="19" t="str">
        <x:v>FIN_BASE_V1.0</x:v>
      </x:c>
    </x:row>
    <x:row r="33">
      <x:c r="A33" s="19" t="str">
        <x:v>DYNAMIC_FOCUS</x:v>
      </x:c>
      <x:c r="B33" s="19" t="str">
        <x:v>变化动量主导</x:v>
      </x:c>
      <x:c r="C33" s="19" t="str">
        <x:v>Grow</x:v>
      </x:c>
      <x:c r="D33" s="19" t="str">
        <x:v>G2_FUNDING_GAP</x:v>
      </x:c>
      <x:c r="E33" s="19" t="str">
        <x:v>扩张中的资金缺口</x:v>
      </x:c>
      <x:c r="F33" s="22" t="n">
        <x:v>0.2</x:v>
      </x:c>
      <x:c r="G33" s="26" t="str">
        <x:v>检验扩张变化主导的增长排序</x:v>
      </x:c>
      <x:c r="H33" s="19" t="str">
        <x:v>active</x:v>
      </x:c>
      <x:c r="I33" s="19" t="str">
        <x:v>FIN_BASE_V1.0</x:v>
      </x:c>
    </x:row>
    <x:row r="34">
      <x:c r="A34" s="19" t="str">
        <x:v>DYNAMIC_FOCUS</x:v>
      </x:c>
      <x:c r="B34" s="19" t="str">
        <x:v>变化动量主导</x:v>
      </x:c>
      <x:c r="C34" s="19" t="str">
        <x:v>Grow</x:v>
      </x:c>
      <x:c r="D34" s="19" t="str">
        <x:v>G3_CAPACITY</x:v>
      </x:c>
      <x:c r="E34" s="19" t="str">
        <x:v>财务承载能力</x:v>
      </x:c>
      <x:c r="F34" s="22" t="n">
        <x:v>0.1</x:v>
      </x:c>
      <x:c r="G34" s="26" t="str">
        <x:v>检验扩张变化主导的增长排序</x:v>
      </x:c>
      <x:c r="H34" s="19" t="str">
        <x:v>active</x:v>
      </x:c>
      <x:c r="I34" s="19" t="str">
        <x:v>FIN_BASE_V1.0</x:v>
      </x:c>
    </x:row>
    <x:row r="35">
      <x:c r="A35" s="19" t="str">
        <x:v>DYNAMIC_FOCUS</x:v>
      </x:c>
      <x:c r="B35" s="19" t="str">
        <x:v>变化动量主导</x:v>
      </x:c>
      <x:c r="C35" s="19" t="str">
        <x:v>Defend</x:v>
      </x:c>
      <x:c r="D35" s="19" t="str">
        <x:v>F1_CURRENT_STRESS</x:v>
      </x:c>
      <x:c r="E35" s="19" t="str">
        <x:v>当前财务压力</x:v>
      </x:c>
      <x:c r="F35" s="22" t="n">
        <x:v>0.3</x:v>
      </x:c>
      <x:c r="G35" s="26" t="str">
        <x:v>检验恶化和轨迹对风险排序的贡献</x:v>
      </x:c>
      <x:c r="H35" s="19" t="str">
        <x:v>active</x:v>
      </x:c>
      <x:c r="I35" s="19" t="str">
        <x:v>FIN_BASE_V1.0</x:v>
      </x:c>
    </x:row>
    <x:row r="36">
      <x:c r="A36" s="19" t="str">
        <x:v>DYNAMIC_FOCUS</x:v>
      </x:c>
      <x:c r="B36" s="19" t="str">
        <x:v>变化动量主导</x:v>
      </x:c>
      <x:c r="C36" s="19" t="str">
        <x:v>Defend</x:v>
      </x:c>
      <x:c r="D36" s="19" t="str">
        <x:v>F2_DETERIORATION</x:v>
      </x:c>
      <x:c r="E36" s="19" t="str">
        <x:v>财务恶化动量</x:v>
      </x:c>
      <x:c r="F36" s="22" t="n">
        <x:v>0.5</x:v>
      </x:c>
      <x:c r="G36" s="26" t="str">
        <x:v>检验恶化和轨迹对风险排序的贡献</x:v>
      </x:c>
      <x:c r="H36" s="19" t="str">
        <x:v>active</x:v>
      </x:c>
      <x:c r="I36" s="19" t="str">
        <x:v>FIN_BASE_V1.0</x:v>
      </x:c>
    </x:row>
    <x:row r="37">
      <x:c r="A37" s="19" t="str">
        <x:v>DYNAMIC_FOCUS</x:v>
      </x:c>
      <x:c r="B37" s="19" t="str">
        <x:v>变化动量主导</x:v>
      </x:c>
      <x:c r="C37" s="19" t="str">
        <x:v>Defend</x:v>
      </x:c>
      <x:c r="D37" s="19" t="str">
        <x:v>F3_TRAJECTORY</x:v>
      </x:c>
      <x:c r="E37" s="19" t="str">
        <x:v>风险轨迹</x:v>
      </x:c>
      <x:c r="F37" s="22" t="n">
        <x:v>0.2</x:v>
      </x:c>
      <x:c r="G37" s="26" t="str">
        <x:v>检验恶化和轨迹对风险排序的贡献</x:v>
      </x:c>
      <x:c r="H37" s="19" t="str">
        <x:v>active</x:v>
      </x:c>
      <x:c r="I37" s="19" t="str">
        <x:v>FIN_BASE_V1.0</x:v>
      </x:c>
    </x:row>
    <x:row r="38">
      <x:c r="A38" s="19" t="str">
        <x:v>CONSERVATIVE</x:v>
      </x:c>
      <x:c r="B38" s="19" t="str">
        <x:v>保守交互</x:v>
      </x:c>
      <x:c r="C38" s="19" t="str">
        <x:v>Deepen</x:v>
      </x:c>
      <x:c r="D38" s="19" t="str">
        <x:v>D1_SCALE_COMPLEXITY</x:v>
      </x:c>
      <x:c r="E38" s="19" t="str">
        <x:v>规模与复杂度</x:v>
      </x:c>
      <x:c r="F38" s="22" t="n">
        <x:v>0.55</x:v>
      </x:c>
      <x:c r="G38" s="26" t="str">
        <x:v>降低变化和条件交互对排名的影响</x:v>
      </x:c>
      <x:c r="H38" s="19" t="str">
        <x:v>active</x:v>
      </x:c>
      <x:c r="I38" s="19" t="str">
        <x:v>FIN_BASE_V1.0</x:v>
      </x:c>
    </x:row>
    <x:row r="39">
      <x:c r="A39" s="19" t="str">
        <x:v>CONSERVATIVE</x:v>
      </x:c>
      <x:c r="B39" s="19" t="str">
        <x:v>保守交互</x:v>
      </x:c>
      <x:c r="C39" s="19" t="str">
        <x:v>Deepen</x:v>
      </x:c>
      <x:c r="D39" s="19" t="str">
        <x:v>D2_PRODUCT_STRUCTURE</x:v>
      </x:c>
      <x:c r="E39" s="19" t="str">
        <x:v>产品相关结构</x:v>
      </x:c>
      <x:c r="F39" s="22" t="n">
        <x:v>0.35</x:v>
      </x:c>
      <x:c r="G39" s="26" t="str">
        <x:v>降低变化和条件交互对排名的影响</x:v>
      </x:c>
      <x:c r="H39" s="19" t="str">
        <x:v>active</x:v>
      </x:c>
      <x:c r="I39" s="19" t="str">
        <x:v>FIN_BASE_V1.0</x:v>
      </x:c>
    </x:row>
    <x:row r="40">
      <x:c r="A40" s="19" t="str">
        <x:v>CONSERVATIVE</x:v>
      </x:c>
      <x:c r="B40" s="19" t="str">
        <x:v>保守交互</x:v>
      </x:c>
      <x:c r="C40" s="19" t="str">
        <x:v>Deepen</x:v>
      </x:c>
      <x:c r="D40" s="19" t="str">
        <x:v>D3_ACTIVITY_MOMENTUM</x:v>
      </x:c>
      <x:c r="E40" s="19" t="str">
        <x:v>业务活动动量</x:v>
      </x:c>
      <x:c r="F40" s="22" t="n">
        <x:v>0.1</x:v>
      </x:c>
      <x:c r="G40" s="26" t="str">
        <x:v>降低变化和条件交互对排名的影响</x:v>
      </x:c>
      <x:c r="H40" s="19" t="str">
        <x:v>active</x:v>
      </x:c>
      <x:c r="I40" s="19" t="str">
        <x:v>FIN_BASE_V1.0</x:v>
      </x:c>
    </x:row>
    <x:row r="41">
      <x:c r="A41" s="19" t="str">
        <x:v>CONSERVATIVE</x:v>
      </x:c>
      <x:c r="B41" s="19" t="str">
        <x:v>保守交互</x:v>
      </x:c>
      <x:c r="C41" s="19" t="str">
        <x:v>Grow</x:v>
      </x:c>
      <x:c r="D41" s="19" t="str">
        <x:v>G1_EXPANSION</x:v>
      </x:c>
      <x:c r="E41" s="19" t="str">
        <x:v>扩张动量</x:v>
      </x:c>
      <x:c r="F41" s="22" t="n">
        <x:v>0.65</x:v>
      </x:c>
      <x:c r="G41" s="26" t="str">
        <x:v>显著降低C级资金缺口交互权重</x:v>
      </x:c>
      <x:c r="H41" s="19" t="str">
        <x:v>active</x:v>
      </x:c>
      <x:c r="I41" s="19" t="str">
        <x:v>FIN_BASE_V1.0</x:v>
      </x:c>
    </x:row>
    <x:row r="42">
      <x:c r="A42" s="19" t="str">
        <x:v>CONSERVATIVE</x:v>
      </x:c>
      <x:c r="B42" s="19" t="str">
        <x:v>保守交互</x:v>
      </x:c>
      <x:c r="C42" s="19" t="str">
        <x:v>Grow</x:v>
      </x:c>
      <x:c r="D42" s="19" t="str">
        <x:v>G2_FUNDING_GAP</x:v>
      </x:c>
      <x:c r="E42" s="19" t="str">
        <x:v>扩张中的资金缺口</x:v>
      </x:c>
      <x:c r="F42" s="22" t="n">
        <x:v>0.1</x:v>
      </x:c>
      <x:c r="G42" s="26" t="str">
        <x:v>显著降低C级资金缺口交互权重</x:v>
      </x:c>
      <x:c r="H42" s="19" t="str">
        <x:v>active</x:v>
      </x:c>
      <x:c r="I42" s="19" t="str">
        <x:v>FIN_BASE_V1.0</x:v>
      </x:c>
    </x:row>
    <x:row r="43">
      <x:c r="A43" s="19" t="str">
        <x:v>CONSERVATIVE</x:v>
      </x:c>
      <x:c r="B43" s="19" t="str">
        <x:v>保守交互</x:v>
      </x:c>
      <x:c r="C43" s="19" t="str">
        <x:v>Grow</x:v>
      </x:c>
      <x:c r="D43" s="19" t="str">
        <x:v>G3_CAPACITY</x:v>
      </x:c>
      <x:c r="E43" s="19" t="str">
        <x:v>财务承载能力</x:v>
      </x:c>
      <x:c r="F43" s="22" t="n">
        <x:v>0.25</x:v>
      </x:c>
      <x:c r="G43" s="26" t="str">
        <x:v>显著降低C级资金缺口交互权重</x:v>
      </x:c>
      <x:c r="H43" s="19" t="str">
        <x:v>active</x:v>
      </x:c>
      <x:c r="I43" s="19" t="str">
        <x:v>FIN_BASE_V1.0</x:v>
      </x:c>
    </x:row>
    <x:row r="44">
      <x:c r="A44" s="19" t="str">
        <x:v>CONSERVATIVE</x:v>
      </x:c>
      <x:c r="B44" s="19" t="str">
        <x:v>保守交互</x:v>
      </x:c>
      <x:c r="C44" s="19" t="str">
        <x:v>Defend</x:v>
      </x:c>
      <x:c r="D44" s="19" t="str">
        <x:v>F1_CURRENT_STRESS</x:v>
      </x:c>
      <x:c r="E44" s="19" t="str">
        <x:v>当前财务压力</x:v>
      </x:c>
      <x:c r="F44" s="22" t="n">
        <x:v>0.6</x:v>
      </x:c>
      <x:c r="G44" s="26" t="str">
        <x:v>降低轨迹重复计分风险</x:v>
      </x:c>
      <x:c r="H44" s="19" t="str">
        <x:v>active</x:v>
      </x:c>
      <x:c r="I44" s="19" t="str">
        <x:v>FIN_BASE_V1.0</x:v>
      </x:c>
    </x:row>
    <x:row r="45">
      <x:c r="A45" s="19" t="str">
        <x:v>CONSERVATIVE</x:v>
      </x:c>
      <x:c r="B45" s="19" t="str">
        <x:v>保守交互</x:v>
      </x:c>
      <x:c r="C45" s="19" t="str">
        <x:v>Defend</x:v>
      </x:c>
      <x:c r="D45" s="19" t="str">
        <x:v>F2_DETERIORATION</x:v>
      </x:c>
      <x:c r="E45" s="19" t="str">
        <x:v>财务恶化动量</x:v>
      </x:c>
      <x:c r="F45" s="22" t="n">
        <x:v>0.35</x:v>
      </x:c>
      <x:c r="G45" s="26" t="str">
        <x:v>降低轨迹重复计分风险</x:v>
      </x:c>
      <x:c r="H45" s="19" t="str">
        <x:v>active</x:v>
      </x:c>
      <x:c r="I45" s="19" t="str">
        <x:v>FIN_BASE_V1.0</x:v>
      </x:c>
    </x:row>
    <x:row r="46">
      <x:c r="A46" s="19" t="str">
        <x:v>CONSERVATIVE</x:v>
      </x:c>
      <x:c r="B46" s="19" t="str">
        <x:v>保守交互</x:v>
      </x:c>
      <x:c r="C46" s="19" t="str">
        <x:v>Defend</x:v>
      </x:c>
      <x:c r="D46" s="19" t="str">
        <x:v>F3_TRAJECTORY</x:v>
      </x:c>
      <x:c r="E46" s="19" t="str">
        <x:v>风险轨迹</x:v>
      </x:c>
      <x:c r="F46" s="22" t="n">
        <x:v>0.05</x:v>
      </x:c>
      <x:c r="G46" s="26" t="str">
        <x:v>降低轨迹重复计分风险</x:v>
      </x:c>
      <x:c r="H46" s="19" t="str">
        <x:v>active</x:v>
      </x:c>
      <x:c r="I46" s="19" t="str">
        <x:v>FIN_BASE_V1.0</x:v>
      </x:c>
    </x:row>
    <x:row r="47">
      <x:c r="A47" s="19" t="str">
        <x:v>OPPORTUNITY_FOCUS</x:v>
      </x:c>
      <x:c r="B47" s="19" t="str">
        <x:v>机会动量主导</x:v>
      </x:c>
      <x:c r="C47" s="19" t="str">
        <x:v>Deepen</x:v>
      </x:c>
      <x:c r="D47" s="19" t="str">
        <x:v>D1_SCALE_COMPLEXITY</x:v>
      </x:c>
      <x:c r="E47" s="19" t="str">
        <x:v>规模与复杂度</x:v>
      </x:c>
      <x:c r="F47" s="22" t="n">
        <x:v>0.4</x:v>
      </x:c>
      <x:c r="G47" s="26" t="str">
        <x:v>提高近期活动对服务拓展机会的贡献</x:v>
      </x:c>
      <x:c r="H47" s="19" t="str">
        <x:v>active</x:v>
      </x:c>
      <x:c r="I47" s="19" t="str">
        <x:v>FIN_BASE_V1.0</x:v>
      </x:c>
    </x:row>
    <x:row r="48">
      <x:c r="A48" s="19" t="str">
        <x:v>OPPORTUNITY_FOCUS</x:v>
      </x:c>
      <x:c r="B48" s="19" t="str">
        <x:v>机会动量主导</x:v>
      </x:c>
      <x:c r="C48" s="19" t="str">
        <x:v>Deepen</x:v>
      </x:c>
      <x:c r="D48" s="19" t="str">
        <x:v>D2_PRODUCT_STRUCTURE</x:v>
      </x:c>
      <x:c r="E48" s="19" t="str">
        <x:v>产品相关结构</x:v>
      </x:c>
      <x:c r="F48" s="22" t="n">
        <x:v>0.25</x:v>
      </x:c>
      <x:c r="G48" s="26" t="str">
        <x:v>提高近期活动对服务拓展机会的贡献</x:v>
      </x:c>
      <x:c r="H48" s="19" t="str">
        <x:v>active</x:v>
      </x:c>
      <x:c r="I48" s="19" t="str">
        <x:v>FIN_BASE_V1.0</x:v>
      </x:c>
    </x:row>
    <x:row r="49">
      <x:c r="A49" s="19" t="str">
        <x:v>OPPORTUNITY_FOCUS</x:v>
      </x:c>
      <x:c r="B49" s="19" t="str">
        <x:v>机会动量主导</x:v>
      </x:c>
      <x:c r="C49" s="19" t="str">
        <x:v>Deepen</x:v>
      </x:c>
      <x:c r="D49" s="19" t="str">
        <x:v>D3_ACTIVITY_MOMENTUM</x:v>
      </x:c>
      <x:c r="E49" s="19" t="str">
        <x:v>业务活动动量</x:v>
      </x:c>
      <x:c r="F49" s="22" t="n">
        <x:v>0.35</x:v>
      </x:c>
      <x:c r="G49" s="26" t="str">
        <x:v>提高近期活动对服务拓展机会的贡献</x:v>
      </x:c>
      <x:c r="H49" s="19" t="str">
        <x:v>active</x:v>
      </x:c>
      <x:c r="I49" s="19" t="str">
        <x:v>FIN_BASE_V1.0</x:v>
      </x:c>
    </x:row>
    <x:row r="50">
      <x:c r="A50" s="19" t="str">
        <x:v>OPPORTUNITY_FOCUS</x:v>
      </x:c>
      <x:c r="B50" s="19" t="str">
        <x:v>机会动量主导</x:v>
      </x:c>
      <x:c r="C50" s="19" t="str">
        <x:v>Grow</x:v>
      </x:c>
      <x:c r="D50" s="19" t="str">
        <x:v>G1_EXPANSION</x:v>
      </x:c>
      <x:c r="E50" s="19" t="str">
        <x:v>扩张动量</x:v>
      </x:c>
      <x:c r="F50" s="22" t="n">
        <x:v>0.7</x:v>
      </x:c>
      <x:c r="G50" s="26" t="str">
        <x:v>强调可观察扩张并保留资金缺口解释</x:v>
      </x:c>
      <x:c r="H50" s="19" t="str">
        <x:v>active</x:v>
      </x:c>
      <x:c r="I50" s="19" t="str">
        <x:v>FIN_BASE_V1.0</x:v>
      </x:c>
    </x:row>
    <x:row r="51">
      <x:c r="A51" s="19" t="str">
        <x:v>OPPORTUNITY_FOCUS</x:v>
      </x:c>
      <x:c r="B51" s="19" t="str">
        <x:v>机会动量主导</x:v>
      </x:c>
      <x:c r="C51" s="19" t="str">
        <x:v>Grow</x:v>
      </x:c>
      <x:c r="D51" s="19" t="str">
        <x:v>G2_FUNDING_GAP</x:v>
      </x:c>
      <x:c r="E51" s="19" t="str">
        <x:v>扩张中的资金缺口</x:v>
      </x:c>
      <x:c r="F51" s="22" t="n">
        <x:v>0.2</x:v>
      </x:c>
      <x:c r="G51" s="26" t="str">
        <x:v>强调可观察扩张并保留资金缺口解释</x:v>
      </x:c>
      <x:c r="H51" s="19" t="str">
        <x:v>active</x:v>
      </x:c>
      <x:c r="I51" s="19" t="str">
        <x:v>FIN_BASE_V1.0</x:v>
      </x:c>
    </x:row>
    <x:row r="52">
      <x:c r="A52" s="19" t="str">
        <x:v>OPPORTUNITY_FOCUS</x:v>
      </x:c>
      <x:c r="B52" s="19" t="str">
        <x:v>机会动量主导</x:v>
      </x:c>
      <x:c r="C52" s="19" t="str">
        <x:v>Grow</x:v>
      </x:c>
      <x:c r="D52" s="19" t="str">
        <x:v>G3_CAPACITY</x:v>
      </x:c>
      <x:c r="E52" s="19" t="str">
        <x:v>财务承载能力</x:v>
      </x:c>
      <x:c r="F52" s="22" t="n">
        <x:v>0.1</x:v>
      </x:c>
      <x:c r="G52" s="26" t="str">
        <x:v>强调可观察扩张并保留资金缺口解释</x:v>
      </x:c>
      <x:c r="H52" s="19" t="str">
        <x:v>active</x:v>
      </x:c>
      <x:c r="I52" s="19" t="str">
        <x:v>FIN_BASE_V1.0</x:v>
      </x:c>
    </x:row>
    <x:row r="53">
      <x:c r="A53" s="19" t="str">
        <x:v>OPPORTUNITY_FOCUS</x:v>
      </x:c>
      <x:c r="B53" s="19" t="str">
        <x:v>机会动量主导</x:v>
      </x:c>
      <x:c r="C53" s="19" t="str">
        <x:v>Defend</x:v>
      </x:c>
      <x:c r="D53" s="19" t="str">
        <x:v>F1_CURRENT_STRESS</x:v>
      </x:c>
      <x:c r="E53" s="19" t="str">
        <x:v>当前财务压力</x:v>
      </x:c>
      <x:c r="F53" s="22" t="n">
        <x:v>0.5</x:v>
      </x:c>
      <x:c r="G53" s="26" t="str">
        <x:v>Defend维持理论基准避免场景含义混乱</x:v>
      </x:c>
      <x:c r="H53" s="19" t="str">
        <x:v>active</x:v>
      </x:c>
      <x:c r="I53" s="19" t="str">
        <x:v>FIN_BASE_V1.0</x:v>
      </x:c>
    </x:row>
    <x:row r="54">
      <x:c r="A54" s="19" t="str">
        <x:v>OPPORTUNITY_FOCUS</x:v>
      </x:c>
      <x:c r="B54" s="19" t="str">
        <x:v>机会动量主导</x:v>
      </x:c>
      <x:c r="C54" s="19" t="str">
        <x:v>Defend</x:v>
      </x:c>
      <x:c r="D54" s="19" t="str">
        <x:v>F2_DETERIORATION</x:v>
      </x:c>
      <x:c r="E54" s="19" t="str">
        <x:v>财务恶化动量</x:v>
      </x:c>
      <x:c r="F54" s="22" t="n">
        <x:v>0.35</x:v>
      </x:c>
      <x:c r="G54" s="26" t="str">
        <x:v>Defend维持理论基准避免场景含义混乱</x:v>
      </x:c>
      <x:c r="H54" s="19" t="str">
        <x:v>active</x:v>
      </x:c>
      <x:c r="I54" s="19" t="str">
        <x:v>FIN_BASE_V1.0</x:v>
      </x:c>
    </x:row>
    <x:row r="55">
      <x:c r="A55" s="20" t="str">
        <x:v>OPPORTUNITY_FOCUS</x:v>
      </x:c>
      <x:c r="B55" s="20" t="str">
        <x:v>机会动量主导</x:v>
      </x:c>
      <x:c r="C55" s="20" t="str">
        <x:v>Defend</x:v>
      </x:c>
      <x:c r="D55" s="20" t="str">
        <x:v>F3_TRAJECTORY</x:v>
      </x:c>
      <x:c r="E55" s="20" t="str">
        <x:v>风险轨迹</x:v>
      </x:c>
      <x:c r="F55" s="23" t="n">
        <x:v>0.15</x:v>
      </x:c>
      <x:c r="G55" s="27" t="str">
        <x:v>Defend维持理论基准避免场景含义混乱</x:v>
      </x:c>
      <x:c r="H55" s="20" t="str">
        <x:v>active</x:v>
      </x:c>
      <x:c r="I55" s="20" t="str">
        <x:v>FIN_BASE_V1.0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5" hidden="0" customWidth="1"/>
    <x:col min="2" max="2" width="9.380000114440918" hidden="0" customWidth="1"/>
    <x:col min="3" max="3" width="21.1299991607666" hidden="0" customWidth="1"/>
    <x:col min="4" max="4" width="30" hidden="0" customWidth="1"/>
    <x:col min="5" max="5" width="31" hidden="0" customWidth="1"/>
    <x:col min="6" max="6" width="31" hidden="0" customWidth="1"/>
    <x:col min="7" max="7" width="30" hidden="0" customWidth="1"/>
    <x:col min="8" max="8" width="14.380000114440918" hidden="0" customWidth="1"/>
    <x:col min="9" max="9" width="30" hidden="0" customWidth="1"/>
    <x:col min="10" max="10" width="17.6299991607666" hidden="0" customWidth="1"/>
    <x:col min="11" max="11" width="10.380000114440918" hidden="0" customWidth="1"/>
    <x:col min="12" max="12" width="22.3799991607666" hidden="0" customWidth="1"/>
    <x:col min="13" max="13" width="30" hidden="0" customWidth="1"/>
    <x:col min="14" max="14" width="30" hidden="0" customWidth="1"/>
    <x:col min="15" max="15" width="44.75" hidden="0" customWidth="1"/>
    <x:col min="16" max="16" width="10.5" hidden="0" customWidth="1"/>
    <x:col min="17" max="17" width="13.630000114440918" hidden="0" customWidth="1"/>
    <x:col min="18" max="18" width="30" hidden="0" customWidth="1"/>
    <x:col min="19" max="19" width="12" hidden="0" customWidth="1"/>
  </x:cols>
  <x:sheetData>
    <x:row r="1">
      <x:c r="A1" s="24" t="str">
        <x:v>rule_id</x:v>
      </x:c>
      <x:c r="B1" s="24" t="str">
        <x:v>dimension</x:v>
      </x:c>
      <x:c r="C1" s="24" t="str">
        <x:v>block_id</x:v>
      </x:c>
      <x:c r="D1" s="24" t="str">
        <x:v>block_name_cn</x:v>
      </x:c>
      <x:c r="E1" s="24" t="str">
        <x:v>source_table</x:v>
      </x:c>
      <x:c r="F1" s="24" t="str">
        <x:v>source_field</x:v>
      </x:c>
      <x:c r="G1" s="24" t="str">
        <x:v>signal_name_cn</x:v>
      </x:c>
      <x:c r="H1" s="24" t="str">
        <x:v>transformation</x:v>
      </x:c>
      <x:c r="I1" s="24" t="str">
        <x:v>activation_condition</x:v>
      </x:c>
      <x:c r="J1" s="24" t="str">
        <x:v>within_block_weight</x:v>
      </x:c>
      <x:c r="K1" s="24" t="str">
        <x:v>critical_flag</x:v>
      </x:c>
      <x:c r="L1" s="24" t="str">
        <x:v>minimum_block_coverage</x:v>
      </x:c>
      <x:c r="M1" s="24" t="str">
        <x:v>missing_treatment</x:v>
      </x:c>
      <x:c r="N1" s="24" t="str">
        <x:v>redundancy_group</x:v>
      </x:c>
      <x:c r="O1" s="24" t="str">
        <x:v>reason_code</x:v>
      </x:c>
      <x:c r="P1" s="24" t="str">
        <x:v>evidence_id</x:v>
      </x:c>
      <x:c r="Q1" s="24" t="str">
        <x:v>evidence_grade</x:v>
      </x:c>
      <x:c r="R1" s="24" t="str">
        <x:v>rationale_cn</x:v>
      </x:c>
      <x:c r="S1" s="24" t="str">
        <x:v>version</x:v>
      </x:c>
    </x:row>
    <x:row r="2">
      <x:c r="A2" s="18" t="str">
        <x:v>D-S01</x:v>
      </x:c>
      <x:c r="B2" s="18" t="str">
        <x:v>Deepen</x:v>
      </x:c>
      <x:c r="C2" s="18" t="str">
        <x:v>D1_SCALE_COMPLEXITY</x:v>
      </x:c>
      <x:c r="D2" s="25" t="str">
        <x:v>规模与复杂度</x:v>
      </x:c>
      <x:c r="E2" s="18" t="str">
        <x:v>02_financial_scale_labels_100k.csv</x:v>
      </x:c>
      <x:c r="F2" s="18" t="str">
        <x:v>current_assets</x:v>
      </x:c>
      <x:c r="G2" s="25" t="str">
        <x:v>流动资产规模</x:v>
      </x:c>
      <x:c r="H2" s="18" t="str">
        <x:v>HIGH</x:v>
      </x:c>
      <x:c r="I2" s="25" t="str">
        <x:v>current_assets_scale_eligible=True</x:v>
      </x:c>
      <x:c r="J2" s="21" t="n">
        <x:v>0.2</x:v>
      </x:c>
      <x:c r="K2" s="18" t="str">
        <x:v>false</x:v>
      </x:c>
      <x:c r="L2" s="21" t="n">
        <x:v>0.6</x:v>
      </x:c>
      <x:c r="M2" s="25" t="str">
        <x:v>exclude_and_reweight</x:v>
      </x:c>
      <x:c r="N2" s="25" t="str">
        <x:v>OPERATING_ASSET_SCALE</x:v>
      </x:c>
      <x:c r="O2" s="18" t="str">
        <x:v>HIGH_CURRENT_ASSET_SCALE</x:v>
      </x:c>
      <x:c r="P2" s="18" t="str">
        <x:v>EV01</x:v>
      </x:c>
      <x:c r="Q2" s="18" t="str">
        <x:v>B</x:v>
      </x:c>
      <x:c r="R2" s="25" t="str">
        <x:v>衡量经营资金体量和潜在现金管理复杂度</x:v>
      </x:c>
      <x:c r="S2" s="18" t="str">
        <x:v>FIN_BASE_V1.0</x:v>
      </x:c>
    </x:row>
    <x:row r="3">
      <x:c r="A3" s="19" t="str">
        <x:v>D-S02</x:v>
      </x:c>
      <x:c r="B3" s="19" t="str">
        <x:v>Deepen</x:v>
      </x:c>
      <x:c r="C3" s="19" t="str">
        <x:v>D1_SCALE_COMPLEXITY</x:v>
      </x:c>
      <x:c r="D3" s="26" t="str">
        <x:v>规模与复杂度</x:v>
      </x:c>
      <x:c r="E3" s="19" t="str">
        <x:v>02_financial_scale_labels_100k.csv</x:v>
      </x:c>
      <x:c r="F3" s="19" t="str">
        <x:v>fixed_assets</x:v>
      </x:c>
      <x:c r="G3" s="26" t="str">
        <x:v>固定资产规模</x:v>
      </x:c>
      <x:c r="H3" s="19" t="str">
        <x:v>HIGH</x:v>
      </x:c>
      <x:c r="I3" s="26" t="str">
        <x:v>fixed_assets_scale_eligible=True</x:v>
      </x:c>
      <x:c r="J3" s="22" t="n">
        <x:v>0.2</x:v>
      </x:c>
      <x:c r="K3" s="19" t="str">
        <x:v>false</x:v>
      </x:c>
      <x:c r="L3" s="22" t="n">
        <x:v>0.6</x:v>
      </x:c>
      <x:c r="M3" s="26" t="str">
        <x:v>exclude_and_reweight</x:v>
      </x:c>
      <x:c r="N3" s="26" t="str">
        <x:v>FIXED_ASSET_FOOTPRINT</x:v>
      </x:c>
      <x:c r="O3" s="19" t="str">
        <x:v>HIGH_FIXED_ASSET_FOOTPRINT</x:v>
      </x:c>
      <x:c r="P3" s="19" t="str">
        <x:v>EV01</x:v>
      </x:c>
      <x:c r="Q3" s="19" t="str">
        <x:v>B</x:v>
      </x:c>
      <x:c r="R3" s="26" t="str">
        <x:v>反映资产融资和资本密集型服务相关规模</x:v>
      </x:c>
      <x:c r="S3" s="19" t="str">
        <x:v>FIN_BASE_V1.0</x:v>
      </x:c>
    </x:row>
    <x:row r="4">
      <x:c r="A4" s="19" t="str">
        <x:v>D-S03</x:v>
      </x:c>
      <x:c r="B4" s="19" t="str">
        <x:v>Deepen</x:v>
      </x:c>
      <x:c r="C4" s="19" t="str">
        <x:v>D1_SCALE_COMPLEXITY</x:v>
      </x:c>
      <x:c r="D4" s="26" t="str">
        <x:v>规模与复杂度</x:v>
      </x:c>
      <x:c r="E4" s="19" t="str">
        <x:v>02_financial_scale_labels_100k.csv</x:v>
      </x:c>
      <x:c r="F4" s="19" t="str">
        <x:v>total_assets_less_current_liabilities</x:v>
      </x:c>
      <x:c r="G4" s="26" t="str">
        <x:v>总体资产基础</x:v>
      </x:c>
      <x:c r="H4" s="19" t="str">
        <x:v>HIGH</x:v>
      </x:c>
      <x:c r="I4" s="26" t="str">
        <x:v>total_assets_scale_eligible=True</x:v>
      </x:c>
      <x:c r="J4" s="22" t="n">
        <x:v>0.25</x:v>
      </x:c>
      <x:c r="K4" s="19" t="str">
        <x:v>true</x:v>
      </x:c>
      <x:c r="L4" s="22" t="n">
        <x:v>0.6</x:v>
      </x:c>
      <x:c r="M4" s="26" t="str">
        <x:v>exclude_and_reweight</x:v>
      </x:c>
      <x:c r="N4" s="26" t="str">
        <x:v>OPERATING_ASSET_SCALE</x:v>
      </x:c>
      <x:c r="O4" s="19" t="str">
        <x:v>HIGH_TOTAL_ASSET_SCALE</x:v>
      </x:c>
      <x:c r="P4" s="19" t="str">
        <x:v>EV01</x:v>
      </x:c>
      <x:c r="Q4" s="19" t="str">
        <x:v>B</x:v>
      </x:c>
      <x:c r="R4" s="26" t="str">
        <x:v>作为公司总体资产基础代理</x:v>
      </x:c>
      <x:c r="S4" s="19" t="str">
        <x:v>FIN_BASE_V1.0</x:v>
      </x:c>
    </x:row>
    <x:row r="5">
      <x:c r="A5" s="19" t="str">
        <x:v>D-S04</x:v>
      </x:c>
      <x:c r="B5" s="19" t="str">
        <x:v>Deepen</x:v>
      </x:c>
      <x:c r="C5" s="19" t="str">
        <x:v>D1_SCALE_COMPLEXITY</x:v>
      </x:c>
      <x:c r="D5" s="26" t="str">
        <x:v>规模与复杂度</x:v>
      </x:c>
      <x:c r="E5" s="19" t="str">
        <x:v>02_financial_scale_labels_100k.csv</x:v>
      </x:c>
      <x:c r="F5" s="19" t="str">
        <x:v>employees</x:v>
      </x:c>
      <x:c r="G5" s="26" t="str">
        <x:v>员工规模</x:v>
      </x:c>
      <x:c r="H5" s="19" t="str">
        <x:v>HIGH</x:v>
      </x:c>
      <x:c r="I5" s="26" t="str">
        <x:v>employee_scale_eligible=True</x:v>
      </x:c>
      <x:c r="J5" s="22" t="n">
        <x:v>0.2</x:v>
      </x:c>
      <x:c r="K5" s="19" t="str">
        <x:v>false</x:v>
      </x:c>
      <x:c r="L5" s="22" t="n">
        <x:v>0.6</x:v>
      </x:c>
      <x:c r="M5" s="26" t="str">
        <x:v>exclude_and_reweight</x:v>
      </x:c>
      <x:c r="N5" s="26" t="str">
        <x:v>OPERATING_COMPLEXITY</x:v>
      </x:c>
      <x:c r="O5" s="19" t="str">
        <x:v>HIGH_EMPLOYEE_FOOTPRINT</x:v>
      </x:c>
      <x:c r="P5" s="19" t="str">
        <x:v>EV01</x:v>
      </x:c>
      <x:c r="Q5" s="19" t="str">
        <x:v>B</x:v>
      </x:c>
      <x:c r="R5" s="26" t="str">
        <x:v>反映运营支付和人员管理复杂度</x:v>
      </x:c>
      <x:c r="S5" s="19" t="str">
        <x:v>FIN_BASE_V1.0</x:v>
      </x:c>
    </x:row>
    <x:row r="6">
      <x:c r="A6" s="19" t="str">
        <x:v>D-S05</x:v>
      </x:c>
      <x:c r="B6" s="19" t="str">
        <x:v>Deepen</x:v>
      </x:c>
      <x:c r="C6" s="19" t="str">
        <x:v>D1_SCALE_COMPLEXITY</x:v>
      </x:c>
      <x:c r="D6" s="26" t="str">
        <x:v>规模与复杂度</x:v>
      </x:c>
      <x:c r="E6" s="19" t="str">
        <x:v>02_financial_scale_labels_100k.csv</x:v>
      </x:c>
      <x:c r="F6" s="19" t="str">
        <x:v>creditors_total</x:v>
      </x:c>
      <x:c r="G6" s="26" t="str">
        <x:v>债权人负债规模</x:v>
      </x:c>
      <x:c r="H6" s="19" t="str">
        <x:v>HIGH</x:v>
      </x:c>
      <x:c r="I6" s="26" t="str">
        <x:v>creditors_scale_eligible=True</x:v>
      </x:c>
      <x:c r="J6" s="22" t="n">
        <x:v>0.15</x:v>
      </x:c>
      <x:c r="K6" s="19" t="str">
        <x:v>false</x:v>
      </x:c>
      <x:c r="L6" s="22" t="n">
        <x:v>0.6</x:v>
      </x:c>
      <x:c r="M6" s="26" t="str">
        <x:v>exclude_and_reweight</x:v>
      </x:c>
      <x:c r="N6" s="26" t="str">
        <x:v>WORKING_CAPITAL_ACTIVITY</x:v>
      </x:c>
      <x:c r="O6" s="19" t="str">
        <x:v>HIGH_CREDITOR_ACTIVITY_SCALE</x:v>
      </x:c>
      <x:c r="P6" s="19" t="str">
        <x:v>EV04</x:v>
      </x:c>
      <x:c r="Q6" s="19" t="str">
        <x:v>B</x:v>
      </x:c>
      <x:c r="R6" s="26" t="str">
        <x:v>只表示交易和营运资金活动规模而非风险</x:v>
      </x:c>
      <x:c r="S6" s="19" t="str">
        <x:v>FIN_BASE_V1.0</x:v>
      </x:c>
    </x:row>
    <x:row r="7">
      <x:c r="A7" s="19" t="str">
        <x:v>D-P01</x:v>
      </x:c>
      <x:c r="B7" s="19" t="str">
        <x:v>Deepen</x:v>
      </x:c>
      <x:c r="C7" s="19" t="str">
        <x:v>D2_PRODUCT_STRUCTURE</x:v>
      </x:c>
      <x:c r="D7" s="26" t="str">
        <x:v>产品相关结构</x:v>
      </x:c>
      <x:c r="E7" s="19" t="str">
        <x:v>01_financial_status_labels_100k.csv</x:v>
      </x:c>
      <x:c r="F7" s="19" t="str">
        <x:v>debtors_to_current_assets_ratio</x:v>
      </x:c>
      <x:c r="G7" s="26" t="str">
        <x:v>应收账款强度</x:v>
      </x:c>
      <x:c r="H7" s="19" t="str">
        <x:v>HIGH</x:v>
      </x:c>
      <x:c r="I7" s="26" t="str">
        <x:v>receivables_intensity_eligible=True</x:v>
      </x:c>
      <x:c r="J7" s="22" t="n">
        <x:v>0.3</x:v>
      </x:c>
      <x:c r="K7" s="19" t="str">
        <x:v>false</x:v>
      </x:c>
      <x:c r="L7" s="22" t="n">
        <x:v>0.6</x:v>
      </x:c>
      <x:c r="M7" s="26" t="str">
        <x:v>exclude_and_reweight</x:v>
      </x:c>
      <x:c r="N7" s="26" t="str">
        <x:v>RECEIVABLES_STRUCTURE</x:v>
      </x:c>
      <x:c r="O7" s="19" t="str">
        <x:v>HIGH_RECEIVABLES_INTENSITY</x:v>
      </x:c>
      <x:c r="P7" s="19" t="str">
        <x:v>EV06</x:v>
      </x:c>
      <x:c r="Q7" s="19" t="str">
        <x:v>B</x:v>
      </x:c>
      <x:c r="R7" s="26" t="str">
        <x:v>反映应收管理和发票融资相关结构</x:v>
      </x:c>
      <x:c r="S7" s="19" t="str">
        <x:v>FIN_BASE_V1.0</x:v>
      </x:c>
    </x:row>
    <x:row r="8">
      <x:c r="A8" s="19" t="str">
        <x:v>D-P02</x:v>
      </x:c>
      <x:c r="B8" s="19" t="str">
        <x:v>Deepen</x:v>
      </x:c>
      <x:c r="C8" s="19" t="str">
        <x:v>D2_PRODUCT_STRUCTURE</x:v>
      </x:c>
      <x:c r="D8" s="26" t="str">
        <x:v>产品相关结构</x:v>
      </x:c>
      <x:c r="E8" s="19" t="str">
        <x:v>01_financial_status_labels_100k.csv</x:v>
      </x:c>
      <x:c r="F8" s="19" t="str">
        <x:v>creditors_to_disclosed_assets_ratio</x:v>
      </x:c>
      <x:c r="G8" s="26" t="str">
        <x:v>债权人负债强度</x:v>
      </x:c>
      <x:c r="H8" s="19" t="str">
        <x:v>HIGH</x:v>
      </x:c>
      <x:c r="I8" s="26" t="str">
        <x:v>creditor_intensity_eligible=True</x:v>
      </x:c>
      <x:c r="J8" s="22" t="n">
        <x:v>0.3</x:v>
      </x:c>
      <x:c r="K8" s="19" t="str">
        <x:v>false</x:v>
      </x:c>
      <x:c r="L8" s="22" t="n">
        <x:v>0.6</x:v>
      </x:c>
      <x:c r="M8" s="26" t="str">
        <x:v>exclude_and_reweight</x:v>
      </x:c>
      <x:c r="N8" s="26" t="str">
        <x:v>WORKING_CAPITAL_STRUCTURE</x:v>
      </x:c>
      <x:c r="O8" s="19" t="str">
        <x:v>HIGH_CREDITOR_INTENSITY</x:v>
      </x:c>
      <x:c r="P8" s="19" t="str">
        <x:v>EV04</x:v>
      </x:c>
      <x:c r="Q8" s="19" t="str">
        <x:v>B</x:v>
      </x:c>
      <x:c r="R8" s="26" t="str">
        <x:v>反映供应链支付和营运资金复杂度</x:v>
      </x:c>
      <x:c r="S8" s="19" t="str">
        <x:v>FIN_BASE_V1.0</x:v>
      </x:c>
    </x:row>
    <x:row r="9">
      <x:c r="A9" s="19" t="str">
        <x:v>D-P03</x:v>
      </x:c>
      <x:c r="B9" s="19" t="str">
        <x:v>Deepen</x:v>
      </x:c>
      <x:c r="C9" s="19" t="str">
        <x:v>D2_PRODUCT_STRUCTURE</x:v>
      </x:c>
      <x:c r="D9" s="26" t="str">
        <x:v>产品相关结构</x:v>
      </x:c>
      <x:c r="E9" s="19" t="str">
        <x:v>01_financial_status_labels_100k.csv</x:v>
      </x:c>
      <x:c r="F9" s="19" t="str">
        <x:v>fixed_assets_to_disclosed_assets_ratio</x:v>
      </x:c>
      <x:c r="G9" s="26" t="str">
        <x:v>固定资产强度</x:v>
      </x:c>
      <x:c r="H9" s="19" t="str">
        <x:v>HIGH</x:v>
      </x:c>
      <x:c r="I9" s="26" t="str">
        <x:v>asset_intensity_eligible=True</x:v>
      </x:c>
      <x:c r="J9" s="22" t="n">
        <x:v>0.25</x:v>
      </x:c>
      <x:c r="K9" s="19" t="str">
        <x:v>false</x:v>
      </x:c>
      <x:c r="L9" s="22" t="n">
        <x:v>0.6</x:v>
      </x:c>
      <x:c r="M9" s="26" t="str">
        <x:v>exclude_and_reweight</x:v>
      </x:c>
      <x:c r="N9" s="26" t="str">
        <x:v>FIXED_ASSET_STRUCTURE</x:v>
      </x:c>
      <x:c r="O9" s="19" t="str">
        <x:v>HIGH_FIXED_ASSET_INTENSITY</x:v>
      </x:c>
      <x:c r="P9" s="19" t="str">
        <x:v>EV06</x:v>
      </x:c>
      <x:c r="Q9" s="19" t="str">
        <x:v>B</x:v>
      </x:c>
      <x:c r="R9" s="26" t="str">
        <x:v>反映资产融资相关结构但不等于真实需求</x:v>
      </x:c>
      <x:c r="S9" s="19" t="str">
        <x:v>FIN_BASE_V1.0</x:v>
      </x:c>
    </x:row>
    <x:row r="10">
      <x:c r="A10" s="19" t="str">
        <x:v>D-P04</x:v>
      </x:c>
      <x:c r="B10" s="19" t="str">
        <x:v>Deepen</x:v>
      </x:c>
      <x:c r="C10" s="19" t="str">
        <x:v>D2_PRODUCT_STRUCTURE</x:v>
      </x:c>
      <x:c r="D10" s="26" t="str">
        <x:v>产品相关结构</x:v>
      </x:c>
      <x:c r="E10" s="19" t="str">
        <x:v>01_financial_status_labels_100k.csv</x:v>
      </x:c>
      <x:c r="F10" s="19" t="str">
        <x:v>employees_per_million_disclosed_assets</x:v>
      </x:c>
      <x:c r="G10" s="26" t="str">
        <x:v>员工密集度</x:v>
      </x:c>
      <x:c r="H10" s="19" t="str">
        <x:v>HIGH</x:v>
      </x:c>
      <x:c r="I10" s="26" t="str">
        <x:v>employee_intensity_eligible=True</x:v>
      </x:c>
      <x:c r="J10" s="22" t="n">
        <x:v>0.15</x:v>
      </x:c>
      <x:c r="K10" s="19" t="str">
        <x:v>false</x:v>
      </x:c>
      <x:c r="L10" s="22" t="n">
        <x:v>0.6</x:v>
      </x:c>
      <x:c r="M10" s="26" t="str">
        <x:v>exclude_and_reweight</x:v>
      </x:c>
      <x:c r="N10" s="26" t="str">
        <x:v>OPERATING_COMPLEXITY</x:v>
      </x:c>
      <x:c r="O10" s="19" t="str">
        <x:v>HIGH_EMPLOYEE_INTENSITY</x:v>
      </x:c>
      <x:c r="P10" s="19" t="str">
        <x:v>EV01</x:v>
      </x:c>
      <x:c r="Q10" s="19" t="str">
        <x:v>B</x:v>
      </x:c>
      <x:c r="R10" s="26" t="str">
        <x:v>反映人员密集运营和支付服务相关性</x:v>
      </x:c>
      <x:c r="S10" s="19" t="str">
        <x:v>FIN_BASE_V1.0</x:v>
      </x:c>
    </x:row>
    <x:row r="11">
      <x:c r="A11" s="19" t="str">
        <x:v>D-M01</x:v>
      </x:c>
      <x:c r="B11" s="19" t="str">
        <x:v>Deepen</x:v>
      </x:c>
      <x:c r="C11" s="19" t="str">
        <x:v>D3_ACTIVITY_MOMENTUM</x:v>
      </x:c>
      <x:c r="D11" s="26" t="str">
        <x:v>业务活动动量</x:v>
      </x:c>
      <x:c r="E11" s="19" t="str">
        <x:v>03_financial_change_labels.csv</x:v>
      </x:c>
      <x:c r="F11" s="19" t="str">
        <x:v>employees_signed_log_change</x:v>
      </x:c>
      <x:c r="G11" s="26" t="str">
        <x:v>员工增长</x:v>
      </x:c>
      <x:c r="H11" s="19" t="str">
        <x:v>UP</x:v>
      </x:c>
      <x:c r="I11" s="26" t="str">
        <x:v>employees_change_eligible=True</x:v>
      </x:c>
      <x:c r="J11" s="22" t="n">
        <x:v>0.3</x:v>
      </x:c>
      <x:c r="K11" s="19" t="str">
        <x:v>false</x:v>
      </x:c>
      <x:c r="L11" s="22" t="n">
        <x:v>0.6</x:v>
      </x:c>
      <x:c r="M11" s="26" t="str">
        <x:v>exclude_and_reweight</x:v>
      </x:c>
      <x:c r="N11" s="26" t="str">
        <x:v>EMPLOYMENT_MOMENTUM</x:v>
      </x:c>
      <x:c r="O11" s="19" t="str">
        <x:v>EMPLOYEE_EXPANSION</x:v>
      </x:c>
      <x:c r="P11" s="19" t="str">
        <x:v>EV02</x:v>
      </x:c>
      <x:c r="Q11" s="19" t="str">
        <x:v>B</x:v>
      </x:c>
      <x:c r="R11" s="26" t="str">
        <x:v>员工增长可表示运营复杂度上升</x:v>
      </x:c>
      <x:c r="S11" s="19" t="str">
        <x:v>FIN_BASE_V1.0</x:v>
      </x:c>
    </x:row>
    <x:row r="12">
      <x:c r="A12" s="19" t="str">
        <x:v>D-M02</x:v>
      </x:c>
      <x:c r="B12" s="19" t="str">
        <x:v>Deepen</x:v>
      </x:c>
      <x:c r="C12" s="19" t="str">
        <x:v>D3_ACTIVITY_MOMENTUM</x:v>
      </x:c>
      <x:c r="D12" s="26" t="str">
        <x:v>业务活动动量</x:v>
      </x:c>
      <x:c r="E12" s="19" t="str">
        <x:v>03_financial_change_labels.csv</x:v>
      </x:c>
      <x:c r="F12" s="19" t="str">
        <x:v>debtors_signed_log_change</x:v>
      </x:c>
      <x:c r="G12" s="26" t="str">
        <x:v>应收账款增长</x:v>
      </x:c>
      <x:c r="H12" s="19" t="str">
        <x:v>UP</x:v>
      </x:c>
      <x:c r="I12" s="26" t="str">
        <x:v>debtors_change_eligible=True</x:v>
      </x:c>
      <x:c r="J12" s="22" t="n">
        <x:v>0.25</x:v>
      </x:c>
      <x:c r="K12" s="19" t="str">
        <x:v>false</x:v>
      </x:c>
      <x:c r="L12" s="22" t="n">
        <x:v>0.6</x:v>
      </x:c>
      <x:c r="M12" s="26" t="str">
        <x:v>exclude_and_reweight</x:v>
      </x:c>
      <x:c r="N12" s="26" t="str">
        <x:v>RECEIVABLES_MOMENTUM</x:v>
      </x:c>
      <x:c r="O12" s="19" t="str">
        <x:v>RECEIVABLES_EXPANSION</x:v>
      </x:c>
      <x:c r="P12" s="19" t="str">
        <x:v>EV06</x:v>
      </x:c>
      <x:c r="Q12" s="19" t="str">
        <x:v>B</x:v>
      </x:c>
      <x:c r="R12" s="26" t="str">
        <x:v>应收增长可扩大应收管理和融资相关场景</x:v>
      </x:c>
      <x:c r="S12" s="19" t="str">
        <x:v>FIN_BASE_V1.0</x:v>
      </x:c>
    </x:row>
    <x:row r="13">
      <x:c r="A13" s="19" t="str">
        <x:v>D-M03</x:v>
      </x:c>
      <x:c r="B13" s="19" t="str">
        <x:v>Deepen</x:v>
      </x:c>
      <x:c r="C13" s="19" t="str">
        <x:v>D3_ACTIVITY_MOMENTUM</x:v>
      </x:c>
      <x:c r="D13" s="26" t="str">
        <x:v>业务活动动量</x:v>
      </x:c>
      <x:c r="E13" s="19" t="str">
        <x:v>03_financial_change_labels.csv</x:v>
      </x:c>
      <x:c r="F13" s="19" t="str">
        <x:v>fixed_assets_signed_log_change</x:v>
      </x:c>
      <x:c r="G13" s="26" t="str">
        <x:v>固定资产增长</x:v>
      </x:c>
      <x:c r="H13" s="19" t="str">
        <x:v>UP</x:v>
      </x:c>
      <x:c r="I13" s="26" t="str">
        <x:v>fixed_assets_change_eligible=True</x:v>
      </x:c>
      <x:c r="J13" s="22" t="n">
        <x:v>0.25</x:v>
      </x:c>
      <x:c r="K13" s="19" t="str">
        <x:v>false</x:v>
      </x:c>
      <x:c r="L13" s="22" t="n">
        <x:v>0.6</x:v>
      </x:c>
      <x:c r="M13" s="26" t="str">
        <x:v>exclude_and_reweight</x:v>
      </x:c>
      <x:c r="N13" s="26" t="str">
        <x:v>FIXED_ASSET_MOMENTUM</x:v>
      </x:c>
      <x:c r="O13" s="19" t="str">
        <x:v>FIXED_ASSET_EXPANSION</x:v>
      </x:c>
      <x:c r="P13" s="19" t="str">
        <x:v>EV01</x:v>
      </x:c>
      <x:c r="Q13" s="19" t="str">
        <x:v>B</x:v>
      </x:c>
      <x:c r="R13" s="26" t="str">
        <x:v>固定资产扩张可提高资产融资相关性</x:v>
      </x:c>
      <x:c r="S13" s="19" t="str">
        <x:v>FIN_BASE_V1.0</x:v>
      </x:c>
    </x:row>
    <x:row r="14">
      <x:c r="A14" s="19" t="str">
        <x:v>D-M04</x:v>
      </x:c>
      <x:c r="B14" s="19" t="str">
        <x:v>Deepen</x:v>
      </x:c>
      <x:c r="C14" s="19" t="str">
        <x:v>D3_ACTIVITY_MOMENTUM</x:v>
      </x:c>
      <x:c r="D14" s="26" t="str">
        <x:v>业务活动动量</x:v>
      </x:c>
      <x:c r="E14" s="19" t="str">
        <x:v>03_financial_change_labels.csv</x:v>
      </x:c>
      <x:c r="F14" s="19" t="str">
        <x:v>current_assets_signed_log_change</x:v>
      </x:c>
      <x:c r="G14" s="26" t="str">
        <x:v>流动资产增长</x:v>
      </x:c>
      <x:c r="H14" s="19" t="str">
        <x:v>UP</x:v>
      </x:c>
      <x:c r="I14" s="26" t="str">
        <x:v>current_assets_change_eligible=True</x:v>
      </x:c>
      <x:c r="J14" s="22" t="n">
        <x:v>0.2</x:v>
      </x:c>
      <x:c r="K14" s="19" t="str">
        <x:v>false</x:v>
      </x:c>
      <x:c r="L14" s="22" t="n">
        <x:v>0.6</x:v>
      </x:c>
      <x:c r="M14" s="26" t="str">
        <x:v>exclude_and_reweight</x:v>
      </x:c>
      <x:c r="N14" s="26" t="str">
        <x:v>OPERATING_ASSET_MOMENTUM</x:v>
      </x:c>
      <x:c r="O14" s="19" t="str">
        <x:v>CURRENT_ASSET_EXPANSION</x:v>
      </x:c>
      <x:c r="P14" s="19" t="str">
        <x:v>EV02</x:v>
      </x:c>
      <x:c r="Q14" s="19" t="str">
        <x:v>B</x:v>
      </x:c>
      <x:c r="R14" s="26" t="str">
        <x:v>反映经营规模和营运资金活动上升</x:v>
      </x:c>
      <x:c r="S14" s="19" t="str">
        <x:v>FIN_BASE_V1.0</x:v>
      </x:c>
    </x:row>
    <x:row r="15">
      <x:c r="A15" s="19" t="str">
        <x:v>G-E01</x:v>
      </x:c>
      <x:c r="B15" s="19" t="str">
        <x:v>Grow</x:v>
      </x:c>
      <x:c r="C15" s="19" t="str">
        <x:v>G1_EXPANSION</x:v>
      </x:c>
      <x:c r="D15" s="26" t="str">
        <x:v>扩张动量</x:v>
      </x:c>
      <x:c r="E15" s="19" t="str">
        <x:v>03_financial_change_labels.csv</x:v>
      </x:c>
      <x:c r="F15" s="19" t="str">
        <x:v>current_assets_signed_log_change</x:v>
      </x:c>
      <x:c r="G15" s="26" t="str">
        <x:v>流动资产增长</x:v>
      </x:c>
      <x:c r="H15" s="19" t="str">
        <x:v>UP</x:v>
      </x:c>
      <x:c r="I15" s="26" t="str">
        <x:v>current_assets_change_eligible=True</x:v>
      </x:c>
      <x:c r="J15" s="22" t="n">
        <x:v>0.2</x:v>
      </x:c>
      <x:c r="K15" s="19" t="str">
        <x:v>true</x:v>
      </x:c>
      <x:c r="L15" s="22" t="n">
        <x:v>0.6</x:v>
      </x:c>
      <x:c r="M15" s="26" t="str">
        <x:v>exclude_and_reweight</x:v>
      </x:c>
      <x:c r="N15" s="26" t="str">
        <x:v>OPERATING_ASSET_MOMENTUM</x:v>
      </x:c>
      <x:c r="O15" s="19" t="str">
        <x:v>CURRENT_ASSET_EXPANSION</x:v>
      </x:c>
      <x:c r="P15" s="19" t="str">
        <x:v>EV02</x:v>
      </x:c>
      <x:c r="Q15" s="19" t="str">
        <x:v>B</x:v>
      </x:c>
      <x:c r="R15" s="26" t="str">
        <x:v>作为可观察的经营扩张代理</x:v>
      </x:c>
      <x:c r="S15" s="19" t="str">
        <x:v>FIN_BASE_V1.0</x:v>
      </x:c>
    </x:row>
    <x:row r="16">
      <x:c r="A16" s="19" t="str">
        <x:v>G-E02</x:v>
      </x:c>
      <x:c r="B16" s="19" t="str">
        <x:v>Grow</x:v>
      </x:c>
      <x:c r="C16" s="19" t="str">
        <x:v>G1_EXPANSION</x:v>
      </x:c>
      <x:c r="D16" s="26" t="str">
        <x:v>扩张动量</x:v>
      </x:c>
      <x:c r="E16" s="19" t="str">
        <x:v>03_financial_change_labels.csv</x:v>
      </x:c>
      <x:c r="F16" s="19" t="str">
        <x:v>fixed_assets_signed_log_change</x:v>
      </x:c>
      <x:c r="G16" s="26" t="str">
        <x:v>固定资产增长</x:v>
      </x:c>
      <x:c r="H16" s="19" t="str">
        <x:v>UP</x:v>
      </x:c>
      <x:c r="I16" s="26" t="str">
        <x:v>fixed_assets_change_eligible=True</x:v>
      </x:c>
      <x:c r="J16" s="22" t="n">
        <x:v>0.25</x:v>
      </x:c>
      <x:c r="K16" s="19" t="str">
        <x:v>true</x:v>
      </x:c>
      <x:c r="L16" s="22" t="n">
        <x:v>0.6</x:v>
      </x:c>
      <x:c r="M16" s="26" t="str">
        <x:v>exclude_and_reweight</x:v>
      </x:c>
      <x:c r="N16" s="26" t="str">
        <x:v>FIXED_ASSET_MOMENTUM</x:v>
      </x:c>
      <x:c r="O16" s="19" t="str">
        <x:v>FIXED_ASSET_EXPANSION</x:v>
      </x:c>
      <x:c r="P16" s="19" t="str">
        <x:v>EV01</x:v>
      </x:c>
      <x:c r="Q16" s="19" t="str">
        <x:v>B</x:v>
      </x:c>
      <x:c r="R16" s="26" t="str">
        <x:v>资本开支和资产扩张与融资场景相关</x:v>
      </x:c>
      <x:c r="S16" s="19" t="str">
        <x:v>FIN_BASE_V1.0</x:v>
      </x:c>
    </x:row>
    <x:row r="17">
      <x:c r="A17" s="19" t="str">
        <x:v>G-E03</x:v>
      </x:c>
      <x:c r="B17" s="19" t="str">
        <x:v>Grow</x:v>
      </x:c>
      <x:c r="C17" s="19" t="str">
        <x:v>G1_EXPANSION</x:v>
      </x:c>
      <x:c r="D17" s="26" t="str">
        <x:v>扩张动量</x:v>
      </x:c>
      <x:c r="E17" s="19" t="str">
        <x:v>03_financial_change_labels.csv</x:v>
      </x:c>
      <x:c r="F17" s="19" t="str">
        <x:v>employees_signed_log_change</x:v>
      </x:c>
      <x:c r="G17" s="26" t="str">
        <x:v>员工增长</x:v>
      </x:c>
      <x:c r="H17" s="19" t="str">
        <x:v>UP</x:v>
      </x:c>
      <x:c r="I17" s="26" t="str">
        <x:v>employees_change_eligible=True</x:v>
      </x:c>
      <x:c r="J17" s="22" t="n">
        <x:v>0.2</x:v>
      </x:c>
      <x:c r="K17" s="19" t="str">
        <x:v>true</x:v>
      </x:c>
      <x:c r="L17" s="22" t="n">
        <x:v>0.6</x:v>
      </x:c>
      <x:c r="M17" s="26" t="str">
        <x:v>exclude_and_reweight</x:v>
      </x:c>
      <x:c r="N17" s="26" t="str">
        <x:v>EMPLOYMENT_MOMENTUM</x:v>
      </x:c>
      <x:c r="O17" s="19" t="str">
        <x:v>EMPLOYEE_EXPANSION</x:v>
      </x:c>
      <x:c r="P17" s="19" t="str">
        <x:v>EV02</x:v>
      </x:c>
      <x:c r="Q17" s="19" t="str">
        <x:v>B</x:v>
      </x:c>
      <x:c r="R17" s="26" t="str">
        <x:v>就业增长是可观察的运营扩张代理</x:v>
      </x:c>
      <x:c r="S17" s="19" t="str">
        <x:v>FIN_BASE_V1.0</x:v>
      </x:c>
    </x:row>
    <x:row r="18">
      <x:c r="A18" s="19" t="str">
        <x:v>G-E04</x:v>
      </x:c>
      <x:c r="B18" s="19" t="str">
        <x:v>Grow</x:v>
      </x:c>
      <x:c r="C18" s="19" t="str">
        <x:v>G1_EXPANSION</x:v>
      </x:c>
      <x:c r="D18" s="26" t="str">
        <x:v>扩张动量</x:v>
      </x:c>
      <x:c r="E18" s="19" t="str">
        <x:v>03_financial_change_labels.csv</x:v>
      </x:c>
      <x:c r="F18" s="19" t="str">
        <x:v>total_assets_less_current_liabilities_signed_log_change</x:v>
      </x:c>
      <x:c r="G18" s="26" t="str">
        <x:v>总体资产增长</x:v>
      </x:c>
      <x:c r="H18" s="19" t="str">
        <x:v>UP</x:v>
      </x:c>
      <x:c r="I18" s="26" t="str">
        <x:v>total_assets_less_current_liabilities_change_eligible=True</x:v>
      </x:c>
      <x:c r="J18" s="22" t="n">
        <x:v>0.2</x:v>
      </x:c>
      <x:c r="K18" s="19" t="str">
        <x:v>true</x:v>
      </x:c>
      <x:c r="L18" s="22" t="n">
        <x:v>0.6</x:v>
      </x:c>
      <x:c r="M18" s="26" t="str">
        <x:v>exclude_and_reweight</x:v>
      </x:c>
      <x:c r="N18" s="26" t="str">
        <x:v>OPERATING_ASSET_MOMENTUM</x:v>
      </x:c>
      <x:c r="O18" s="19" t="str">
        <x:v>TOTAL_ASSET_EXPANSION</x:v>
      </x:c>
      <x:c r="P18" s="19" t="str">
        <x:v>EV02</x:v>
      </x:c>
      <x:c r="Q18" s="19" t="str">
        <x:v>B</x:v>
      </x:c>
      <x:c r="R18" s="26" t="str">
        <x:v>反映公司总体资产基础扩张</x:v>
      </x:c>
      <x:c r="S18" s="19" t="str">
        <x:v>FIN_BASE_V1.0</x:v>
      </x:c>
    </x:row>
    <x:row r="19">
      <x:c r="A19" s="19" t="str">
        <x:v>G-E05</x:v>
      </x:c>
      <x:c r="B19" s="19" t="str">
        <x:v>Grow</x:v>
      </x:c>
      <x:c r="C19" s="19" t="str">
        <x:v>G1_EXPANSION</x:v>
      </x:c>
      <x:c r="D19" s="26" t="str">
        <x:v>扩张动量</x:v>
      </x:c>
      <x:c r="E19" s="19" t="str">
        <x:v>03_financial_change_labels.csv</x:v>
      </x:c>
      <x:c r="F19" s="19" t="str">
        <x:v>debtors_signed_log_change</x:v>
      </x:c>
      <x:c r="G19" s="26" t="str">
        <x:v>应收账款增长</x:v>
      </x:c>
      <x:c r="H19" s="19" t="str">
        <x:v>UP</x:v>
      </x:c>
      <x:c r="I19" s="26" t="str">
        <x:v>debtors_change_eligible=True</x:v>
      </x:c>
      <x:c r="J19" s="22" t="n">
        <x:v>0.15</x:v>
      </x:c>
      <x:c r="K19" s="19" t="str">
        <x:v>false</x:v>
      </x:c>
      <x:c r="L19" s="22" t="n">
        <x:v>0.6</x:v>
      </x:c>
      <x:c r="M19" s="26" t="str">
        <x:v>exclude_and_reweight</x:v>
      </x:c>
      <x:c r="N19" s="26" t="str">
        <x:v>RECEIVABLES_MOMENTUM</x:v>
      </x:c>
      <x:c r="O19" s="19" t="str">
        <x:v>RECEIVABLES_EXPANSION</x:v>
      </x:c>
      <x:c r="P19" s="19" t="str">
        <x:v>EV06</x:v>
      </x:c>
      <x:c r="Q19" s="19" t="str">
        <x:v>B</x:v>
      </x:c>
      <x:c r="R19" s="26" t="str">
        <x:v>可能来自销售扩张但也可能是回款压力因此低权重</x:v>
      </x:c>
      <x:c r="S19" s="19" t="str">
        <x:v>FIN_BASE_V1.0</x:v>
      </x:c>
    </x:row>
    <x:row r="20">
      <x:c r="A20" s="19" t="str">
        <x:v>G-F01</x:v>
      </x:c>
      <x:c r="B20" s="19" t="str">
        <x:v>Grow</x:v>
      </x:c>
      <x:c r="C20" s="19" t="str">
        <x:v>G2_FUNDING_GAP</x:v>
      </x:c>
      <x:c r="D20" s="26" t="str">
        <x:v>扩张中的资金缺口</x:v>
      </x:c>
      <x:c r="E20" s="19" t="str">
        <x:v>derived</x:v>
      </x:c>
      <x:c r="F20" s="19" t="str">
        <x:v>G1_EXPANSION_AND_cash_signed_log_change</x:v>
      </x:c>
      <x:c r="G20" s="26" t="str">
        <x:v>扩张伴随现金缺口</x:v>
      </x:c>
      <x:c r="H20" s="19" t="str">
        <x:v>AND</x:v>
      </x:c>
      <x:c r="I20" s="26" t="str">
        <x:v>G1_EXPANSION&gt;0 AND cash_change_eligible=True AND cash_signed_log_change&lt;0</x:v>
      </x:c>
      <x:c r="J20" s="22" t="n">
        <x:v>0.4</x:v>
      </x:c>
      <x:c r="K20" s="19" t="str">
        <x:v>false</x:v>
      </x:c>
      <x:c r="L20" s="22" t="n">
        <x:v>0.6</x:v>
      </x:c>
      <x:c r="M20" s="26" t="str">
        <x:v>exclude_and_reweight</x:v>
      </x:c>
      <x:c r="N20" s="26" t="str">
        <x:v>FUNDING_GAP_INTERACTION</x:v>
      </x:c>
      <x:c r="O20" s="19" t="str">
        <x:v>EXPANSION_WITH_CASH_GAP</x:v>
      </x:c>
      <x:c r="P20" s="19" t="str">
        <x:v>EV06</x:v>
      </x:c>
      <x:c r="Q20" s="19" t="str">
        <x:v>C</x:v>
      </x:c>
      <x:c r="R20" s="26" t="str">
        <x:v>要求扩张和现金下降同时存在以减少误判</x:v>
      </x:c>
      <x:c r="S20" s="19" t="str">
        <x:v>FIN_BASE_V1.0</x:v>
      </x:c>
    </x:row>
    <x:row r="21">
      <x:c r="A21" s="19" t="str">
        <x:v>G-F02</x:v>
      </x:c>
      <x:c r="B21" s="19" t="str">
        <x:v>Grow</x:v>
      </x:c>
      <x:c r="C21" s="19" t="str">
        <x:v>G2_FUNDING_GAP</x:v>
      </x:c>
      <x:c r="D21" s="26" t="str">
        <x:v>扩张中的资金缺口</x:v>
      </x:c>
      <x:c r="E21" s="19" t="str">
        <x:v>derived</x:v>
      </x:c>
      <x:c r="F21" s="19" t="str">
        <x:v>debtors_change_AND_liquidity_pressure</x:v>
      </x:c>
      <x:c r="G21" s="26" t="str">
        <x:v>应收增长伴随流动性需要</x:v>
      </x:c>
      <x:c r="H21" s="19" t="str">
        <x:v>AND</x:v>
      </x:c>
      <x:c r="I21" s="26" t="str">
        <x:v>debtors_change_eligible=True AND debtors_signed_log_change&gt;0 AND liquidity_pressure_available=True</x:v>
      </x:c>
      <x:c r="J21" s="22" t="n">
        <x:v>0.3</x:v>
      </x:c>
      <x:c r="K21" s="19" t="str">
        <x:v>false</x:v>
      </x:c>
      <x:c r="L21" s="22" t="n">
        <x:v>0.6</x:v>
      </x:c>
      <x:c r="M21" s="26" t="str">
        <x:v>exclude_and_reweight</x:v>
      </x:c>
      <x:c r="N21" s="26" t="str">
        <x:v>FUNDING_GAP_INTERACTION</x:v>
      </x:c>
      <x:c r="O21" s="19" t="str">
        <x:v>RECEIVABLES_GROWTH_WITH_LIQUIDITY_NEED</x:v>
      </x:c>
      <x:c r="P21" s="19" t="str">
        <x:v>EV06</x:v>
      </x:c>
      <x:c r="Q21" s="19" t="str">
        <x:v>C</x:v>
      </x:c>
      <x:c r="R21" s="26" t="str">
        <x:v>结合应收增长与现金下降或营运资金赤字</x:v>
      </x:c>
      <x:c r="S21" s="19" t="str">
        <x:v>FIN_BASE_V1.0</x:v>
      </x:c>
    </x:row>
    <x:row r="22">
      <x:c r="A22" s="19" t="str">
        <x:v>G-F03</x:v>
      </x:c>
      <x:c r="B22" s="19" t="str">
        <x:v>Grow</x:v>
      </x:c>
      <x:c r="C22" s="19" t="str">
        <x:v>G2_FUNDING_GAP</x:v>
      </x:c>
      <x:c r="D22" s="26" t="str">
        <x:v>扩张中的资金缺口</x:v>
      </x:c>
      <x:c r="E22" s="19" t="str">
        <x:v>derived</x:v>
      </x:c>
      <x:c r="F22" s="19" t="str">
        <x:v>creditors_change_AND_real_expansion</x:v>
      </x:c>
      <x:c r="G22" s="26" t="str">
        <x:v>债权人支持的扩张</x:v>
      </x:c>
      <x:c r="H22" s="19" t="str">
        <x:v>AND</x:v>
      </x:c>
      <x:c r="I22" s="26" t="str">
        <x:v>creditors_total_change_eligible=True AND creditors_total_signed_log_change&gt;0 AND real_expansion&gt;0</x:v>
      </x:c>
      <x:c r="J22" s="22" t="n">
        <x:v>0.3</x:v>
      </x:c>
      <x:c r="K22" s="19" t="str">
        <x:v>false</x:v>
      </x:c>
      <x:c r="L22" s="22" t="n">
        <x:v>0.6</x:v>
      </x:c>
      <x:c r="M22" s="26" t="str">
        <x:v>exclude_and_reweight</x:v>
      </x:c>
      <x:c r="N22" s="26" t="str">
        <x:v>FUNDING_GAP_INTERACTION</x:v>
      </x:c>
      <x:c r="O22" s="19" t="str">
        <x:v>CREDITOR_GROWTH_ALONGSIDE_EXPANSION</x:v>
      </x:c>
      <x:c r="P22" s="19" t="str">
        <x:v>EV04</x:v>
      </x:c>
      <x:c r="Q22" s="19" t="str">
        <x:v>C</x:v>
      </x:c>
      <x:c r="R22" s="26" t="str">
        <x:v>避免将债权人负债单独解释为增长</x:v>
      </x:c>
      <x:c r="S22" s="19" t="str">
        <x:v>FIN_BASE_V1.0</x:v>
      </x:c>
    </x:row>
    <x:row r="23">
      <x:c r="A23" s="19" t="str">
        <x:v>G-C01</x:v>
      </x:c>
      <x:c r="B23" s="19" t="str">
        <x:v>Grow</x:v>
      </x:c>
      <x:c r="C23" s="19" t="str">
        <x:v>G3_CAPACITY</x:v>
      </x:c>
      <x:c r="D23" s="26" t="str">
        <x:v>财务承载能力</x:v>
      </x:c>
      <x:c r="E23" s="19" t="str">
        <x:v>01_financial_status_labels_100k.csv</x:v>
      </x:c>
      <x:c r="F23" s="19" t="str">
        <x:v>positive_equity_flag</x:v>
      </x:c>
      <x:c r="G23" s="26" t="str">
        <x:v>正权益</x:v>
      </x:c>
      <x:c r="H23" s="19" t="str">
        <x:v>BINARY</x:v>
      </x:c>
      <x:c r="I23" s="26" t="str">
        <x:v>negative_equity_eligible=True</x:v>
      </x:c>
      <x:c r="J23" s="22" t="n">
        <x:v>0.4</x:v>
      </x:c>
      <x:c r="K23" s="19" t="str">
        <x:v>true</x:v>
      </x:c>
      <x:c r="L23" s="22" t="n">
        <x:v>0.6</x:v>
      </x:c>
      <x:c r="M23" s="26" t="str">
        <x:v>exclude_and_reweight</x:v>
      </x:c>
      <x:c r="N23" s="26" t="str">
        <x:v>CAPITAL_CAPACITY</x:v>
      </x:c>
      <x:c r="O23" s="19" t="str">
        <x:v>POSITIVE_EQUITY_CAPACITY</x:v>
      </x:c>
      <x:c r="P23" s="19" t="str">
        <x:v>EV03</x:v>
      </x:c>
      <x:c r="Q23" s="19" t="str">
        <x:v>A</x:v>
      </x:c>
      <x:c r="R23" s="26" t="str">
        <x:v>正权益提供资本缓冲但不等于融资需求</x:v>
      </x:c>
      <x:c r="S23" s="19" t="str">
        <x:v>FIN_BASE_V1.0</x:v>
      </x:c>
    </x:row>
    <x:row r="24">
      <x:c r="A24" s="19" t="str">
        <x:v>G-C02</x:v>
      </x:c>
      <x:c r="B24" s="19" t="str">
        <x:v>Grow</x:v>
      </x:c>
      <x:c r="C24" s="19" t="str">
        <x:v>G3_CAPACITY</x:v>
      </x:c>
      <x:c r="D24" s="26" t="str">
        <x:v>财务承载能力</x:v>
      </x:c>
      <x:c r="E24" s="19" t="str">
        <x:v>03_financial_change_labels.csv</x:v>
      </x:c>
      <x:c r="F24" s="19" t="str">
        <x:v>equity_signed_log_change</x:v>
      </x:c>
      <x:c r="G24" s="26" t="str">
        <x:v>权益增长</x:v>
      </x:c>
      <x:c r="H24" s="19" t="str">
        <x:v>UP</x:v>
      </x:c>
      <x:c r="I24" s="26" t="str">
        <x:v>equity_change_eligible=True</x:v>
      </x:c>
      <x:c r="J24" s="22" t="n">
        <x:v>0.3</x:v>
      </x:c>
      <x:c r="K24" s="19" t="str">
        <x:v>false</x:v>
      </x:c>
      <x:c r="L24" s="22" t="n">
        <x:v>0.6</x:v>
      </x:c>
      <x:c r="M24" s="26" t="str">
        <x:v>exclude_and_reweight</x:v>
      </x:c>
      <x:c r="N24" s="26" t="str">
        <x:v>CAPITAL_CAPACITY</x:v>
      </x:c>
      <x:c r="O24" s="19" t="str">
        <x:v>EQUITY_IMPROVEMENT</x:v>
      </x:c>
      <x:c r="P24" s="19" t="str">
        <x:v>EV03</x:v>
      </x:c>
      <x:c r="Q24" s="19" t="str">
        <x:v>A</x:v>
      </x:c>
      <x:c r="R24" s="26" t="str">
        <x:v>权益改善提高扩张承载能力</x:v>
      </x:c>
      <x:c r="S24" s="19" t="str">
        <x:v>FIN_BASE_V1.0</x:v>
      </x:c>
    </x:row>
    <x:row r="25">
      <x:c r="A25" s="19" t="str">
        <x:v>G-C03</x:v>
      </x:c>
      <x:c r="B25" s="19" t="str">
        <x:v>Grow</x:v>
      </x:c>
      <x:c r="C25" s="19" t="str">
        <x:v>G3_CAPACITY</x:v>
      </x:c>
      <x:c r="D25" s="26" t="str">
        <x:v>财务承载能力</x:v>
      </x:c>
      <x:c r="E25" s="19" t="str">
        <x:v>03_financial_change_labels.csv</x:v>
      </x:c>
      <x:c r="F25" s="19" t="str">
        <x:v>net_assets_liabilities_signed_log_change</x:v>
      </x:c>
      <x:c r="G25" s="26" t="str">
        <x:v>净资产增长</x:v>
      </x:c>
      <x:c r="H25" s="19" t="str">
        <x:v>UP</x:v>
      </x:c>
      <x:c r="I25" s="26" t="str">
        <x:v>net_assets_liabilities_change_eligible=True</x:v>
      </x:c>
      <x:c r="J25" s="22" t="n">
        <x:v>0.3</x:v>
      </x:c>
      <x:c r="K25" s="19" t="str">
        <x:v>false</x:v>
      </x:c>
      <x:c r="L25" s="22" t="n">
        <x:v>0.6</x:v>
      </x:c>
      <x:c r="M25" s="26" t="str">
        <x:v>exclude_and_reweight</x:v>
      </x:c>
      <x:c r="N25" s="26" t="str">
        <x:v>CAPITAL_CAPACITY</x:v>
      </x:c>
      <x:c r="O25" s="19" t="str">
        <x:v>NET_ASSET_IMPROVEMENT</x:v>
      </x:c>
      <x:c r="P25" s="19" t="str">
        <x:v>EV03</x:v>
      </x:c>
      <x:c r="Q25" s="19" t="str">
        <x:v>A</x:v>
      </x:c>
      <x:c r="R25" s="26" t="str">
        <x:v>净资产改善提高财务缓冲</x:v>
      </x:c>
      <x:c r="S25" s="19" t="str">
        <x:v>FIN_BASE_V1.0</x:v>
      </x:c>
    </x:row>
    <x:row r="26">
      <x:c r="A26" s="19" t="str">
        <x:v>F-S01</x:v>
      </x:c>
      <x:c r="B26" s="19" t="str">
        <x:v>Defend</x:v>
      </x:c>
      <x:c r="C26" s="19" t="str">
        <x:v>F1_CURRENT_STRESS</x:v>
      </x:c>
      <x:c r="D26" s="26" t="str">
        <x:v>当前财务压力</x:v>
      </x:c>
      <x:c r="E26" s="19" t="str">
        <x:v>01_financial_status_labels_100k.csv</x:v>
      </x:c>
      <x:c r="F26" s="19" t="str">
        <x:v>negative_equity_flag</x:v>
      </x:c>
      <x:c r="G26" s="26" t="str">
        <x:v>负权益</x:v>
      </x:c>
      <x:c r="H26" s="19" t="str">
        <x:v>BINARY</x:v>
      </x:c>
      <x:c r="I26" s="26" t="str">
        <x:v>negative_equity_eligible=True</x:v>
      </x:c>
      <x:c r="J26" s="22" t="n">
        <x:v>0.3</x:v>
      </x:c>
      <x:c r="K26" s="19" t="str">
        <x:v>true</x:v>
      </x:c>
      <x:c r="L26" s="22" t="n">
        <x:v>0.6</x:v>
      </x:c>
      <x:c r="M26" s="26" t="str">
        <x:v>exclude_and_reweight</x:v>
      </x:c>
      <x:c r="N26" s="26" t="str">
        <x:v>CAPITAL_STRESS</x:v>
      </x:c>
      <x:c r="O26" s="19" t="str">
        <x:v>NEGATIVE_EQUITY</x:v>
      </x:c>
      <x:c r="P26" s="19" t="str">
        <x:v>EV03</x:v>
      </x:c>
      <x:c r="Q26" s="19" t="str">
        <x:v>A</x:v>
      </x:c>
      <x:c r="R26" s="26" t="str">
        <x:v>负权益代表资本缓冲不足</x:v>
      </x:c>
      <x:c r="S26" s="19" t="str">
        <x:v>FIN_BASE_V1.0</x:v>
      </x:c>
    </x:row>
    <x:row r="27">
      <x:c r="A27" s="19" t="str">
        <x:v>F-S02</x:v>
      </x:c>
      <x:c r="B27" s="19" t="str">
        <x:v>Defend</x:v>
      </x:c>
      <x:c r="C27" s="19" t="str">
        <x:v>F1_CURRENT_STRESS</x:v>
      </x:c>
      <x:c r="D27" s="26" t="str">
        <x:v>当前财务压力</x:v>
      </x:c>
      <x:c r="E27" s="19" t="str">
        <x:v>01_financial_status_labels_100k.csv</x:v>
      </x:c>
      <x:c r="F27" s="19" t="str">
        <x:v>working_capital_deficit_flag</x:v>
      </x:c>
      <x:c r="G27" s="26" t="str">
        <x:v>营运资金赤字</x:v>
      </x:c>
      <x:c r="H27" s="19" t="str">
        <x:v>BINARY</x:v>
      </x:c>
      <x:c r="I27" s="26" t="str">
        <x:v>working_capital_deficit_eligible=True</x:v>
      </x:c>
      <x:c r="J27" s="22" t="n">
        <x:v>0.3</x:v>
      </x:c>
      <x:c r="K27" s="19" t="str">
        <x:v>true</x:v>
      </x:c>
      <x:c r="L27" s="22" t="n">
        <x:v>0.6</x:v>
      </x:c>
      <x:c r="M27" s="26" t="str">
        <x:v>exclude_and_reweight</x:v>
      </x:c>
      <x:c r="N27" s="26" t="str">
        <x:v>LIQUIDITY_STRESS</x:v>
      </x:c>
      <x:c r="O27" s="19" t="str">
        <x:v>WORKING_CAPITAL_DEFICIT</x:v>
      </x:c>
      <x:c r="P27" s="19" t="str">
        <x:v>EV03</x:v>
      </x:c>
      <x:c r="Q27" s="19" t="str">
        <x:v>A</x:v>
      </x:c>
      <x:c r="R27" s="26" t="str">
        <x:v>流动资产不足以覆盖债权人负债的代理</x:v>
      </x:c>
      <x:c r="S27" s="19" t="str">
        <x:v>FIN_BASE_V1.0</x:v>
      </x:c>
    </x:row>
    <x:row r="28">
      <x:c r="A28" s="19" t="str">
        <x:v>F-S03</x:v>
      </x:c>
      <x:c r="B28" s="19" t="str">
        <x:v>Defend</x:v>
      </x:c>
      <x:c r="C28" s="19" t="str">
        <x:v>F1_CURRENT_STRESS</x:v>
      </x:c>
      <x:c r="D28" s="26" t="str">
        <x:v>当前财务压力</x:v>
      </x:c>
      <x:c r="E28" s="19" t="str">
        <x:v>01_financial_status_labels_100k.csv</x:v>
      </x:c>
      <x:c r="F28" s="19" t="str">
        <x:v>creditors_exceed_current_assets_flag</x:v>
      </x:c>
      <x:c r="G28" s="26" t="str">
        <x:v>债权人负债超过流动资产</x:v>
      </x:c>
      <x:c r="H28" s="19" t="str">
        <x:v>BINARY</x:v>
      </x:c>
      <x:c r="I28" s="26" t="str">
        <x:v>creditors_cover_eligible=True</x:v>
      </x:c>
      <x:c r="J28" s="22" t="n">
        <x:v>0.2</x:v>
      </x:c>
      <x:c r="K28" s="19" t="str">
        <x:v>false</x:v>
      </x:c>
      <x:c r="L28" s="22" t="n">
        <x:v>0.6</x:v>
      </x:c>
      <x:c r="M28" s="26" t="str">
        <x:v>exclude_and_reweight</x:v>
      </x:c>
      <x:c r="N28" s="26" t="str">
        <x:v>LIQUIDITY_STRESS</x:v>
      </x:c>
      <x:c r="O28" s="19" t="str">
        <x:v>CREDITORS_EXCEED_CURRENT_ASSETS</x:v>
      </x:c>
      <x:c r="P28" s="19" t="str">
        <x:v>EV03</x:v>
      </x:c>
      <x:c r="Q28" s="19" t="str">
        <x:v>A</x:v>
      </x:c>
      <x:c r="R28" s="26" t="str">
        <x:v>反映短期资产覆盖压力</x:v>
      </x:c>
      <x:c r="S28" s="19" t="str">
        <x:v>FIN_BASE_V1.0</x:v>
      </x:c>
    </x:row>
    <x:row r="29">
      <x:c r="A29" s="19" t="str">
        <x:v>F-S04</x:v>
      </x:c>
      <x:c r="B29" s="19" t="str">
        <x:v>Defend</x:v>
      </x:c>
      <x:c r="C29" s="19" t="str">
        <x:v>F1_CURRENT_STRESS</x:v>
      </x:c>
      <x:c r="D29" s="26" t="str">
        <x:v>当前财务压力</x:v>
      </x:c>
      <x:c r="E29" s="19" t="str">
        <x:v>01_financial_status_labels_100k.csv</x:v>
      </x:c>
      <x:c r="F29" s="19" t="str">
        <x:v>cash_to_creditors_ratio</x:v>
      </x:c>
      <x:c r="G29" s="26" t="str">
        <x:v>低现金覆盖</x:v>
      </x:c>
      <x:c r="H29" s="19" t="str">
        <x:v>LOW</x:v>
      </x:c>
      <x:c r="I29" s="26" t="str">
        <x:v>cash_coverage_eligible=True</x:v>
      </x:c>
      <x:c r="J29" s="22" t="n">
        <x:v>0.2</x:v>
      </x:c>
      <x:c r="K29" s="19" t="str">
        <x:v>false</x:v>
      </x:c>
      <x:c r="L29" s="22" t="n">
        <x:v>0.6</x:v>
      </x:c>
      <x:c r="M29" s="26" t="str">
        <x:v>exclude_and_reweight</x:v>
      </x:c>
      <x:c r="N29" s="26" t="str">
        <x:v>LIQUIDITY_STRESS</x:v>
      </x:c>
      <x:c r="O29" s="19" t="str">
        <x:v>LOW_CASH_COVERAGE</x:v>
      </x:c>
      <x:c r="P29" s="19" t="str">
        <x:v>EV03</x:v>
      </x:c>
      <x:c r="Q29" s="19" t="str">
        <x:v>A</x:v>
      </x:c>
      <x:c r="R29" s="26" t="str">
        <x:v>低现金覆盖代表短期流动性压力</x:v>
      </x:c>
      <x:c r="S29" s="19" t="str">
        <x:v>FIN_BASE_V1.0</x:v>
      </x:c>
    </x:row>
    <x:row r="30">
      <x:c r="A30" s="19" t="str">
        <x:v>F-D01</x:v>
      </x:c>
      <x:c r="B30" s="19" t="str">
        <x:v>Defend</x:v>
      </x:c>
      <x:c r="C30" s="19" t="str">
        <x:v>F2_DETERIORATION</x:v>
      </x:c>
      <x:c r="D30" s="26" t="str">
        <x:v>财务恶化动量</x:v>
      </x:c>
      <x:c r="E30" s="19" t="str">
        <x:v>03_financial_change_labels.csv</x:v>
      </x:c>
      <x:c r="F30" s="19" t="str">
        <x:v>equity_signed_log_change</x:v>
      </x:c>
      <x:c r="G30" s="26" t="str">
        <x:v>权益下降</x:v>
      </x:c>
      <x:c r="H30" s="19" t="str">
        <x:v>DOWN</x:v>
      </x:c>
      <x:c r="I30" s="26" t="str">
        <x:v>equity_change_eligible=True</x:v>
      </x:c>
      <x:c r="J30" s="22" t="n">
        <x:v>0.25</x:v>
      </x:c>
      <x:c r="K30" s="19" t="str">
        <x:v>true</x:v>
      </x:c>
      <x:c r="L30" s="22" t="n">
        <x:v>0.6</x:v>
      </x:c>
      <x:c r="M30" s="26" t="str">
        <x:v>exclude_and_reweight</x:v>
      </x:c>
      <x:c r="N30" s="26" t="str">
        <x:v>CAPITAL_DETERIORATION</x:v>
      </x:c>
      <x:c r="O30" s="19" t="str">
        <x:v>EQUITY_DETERIORATION</x:v>
      </x:c>
      <x:c r="P30" s="19" t="str">
        <x:v>EV03</x:v>
      </x:c>
      <x:c r="Q30" s="19" t="str">
        <x:v>A</x:v>
      </x:c>
      <x:c r="R30" s="26" t="str">
        <x:v>权益下降表示资本缓冲恶化</x:v>
      </x:c>
      <x:c r="S30" s="19" t="str">
        <x:v>FIN_BASE_V1.0</x:v>
      </x:c>
    </x:row>
    <x:row r="31">
      <x:c r="A31" s="19" t="str">
        <x:v>F-D02</x:v>
      </x:c>
      <x:c r="B31" s="19" t="str">
        <x:v>Defend</x:v>
      </x:c>
      <x:c r="C31" s="19" t="str">
        <x:v>F2_DETERIORATION</x:v>
      </x:c>
      <x:c r="D31" s="26" t="str">
        <x:v>财务恶化动量</x:v>
      </x:c>
      <x:c r="E31" s="19" t="str">
        <x:v>03_financial_change_labels.csv</x:v>
      </x:c>
      <x:c r="F31" s="19" t="str">
        <x:v>net_assets_liabilities_signed_log_change</x:v>
      </x:c>
      <x:c r="G31" s="26" t="str">
        <x:v>净资产下降</x:v>
      </x:c>
      <x:c r="H31" s="19" t="str">
        <x:v>DOWN</x:v>
      </x:c>
      <x:c r="I31" s="26" t="str">
        <x:v>net_assets_liabilities_change_eligible=True</x:v>
      </x:c>
      <x:c r="J31" s="22" t="n">
        <x:v>0.2</x:v>
      </x:c>
      <x:c r="K31" s="19" t="str">
        <x:v>true</x:v>
      </x:c>
      <x:c r="L31" s="22" t="n">
        <x:v>0.6</x:v>
      </x:c>
      <x:c r="M31" s="26" t="str">
        <x:v>exclude_and_reweight</x:v>
      </x:c>
      <x:c r="N31" s="26" t="str">
        <x:v>CAPITAL_DETERIORATION</x:v>
      </x:c>
      <x:c r="O31" s="19" t="str">
        <x:v>NET_ASSET_DETERIORATION</x:v>
      </x:c>
      <x:c r="P31" s="19" t="str">
        <x:v>EV03</x:v>
      </x:c>
      <x:c r="Q31" s="19" t="str">
        <x:v>A</x:v>
      </x:c>
      <x:c r="R31" s="26" t="str">
        <x:v>净资产下降表示资产负债结构恶化</x:v>
      </x:c>
      <x:c r="S31" s="19" t="str">
        <x:v>FIN_BASE_V1.0</x:v>
      </x:c>
    </x:row>
    <x:row r="32">
      <x:c r="A32" s="19" t="str">
        <x:v>F-D03</x:v>
      </x:c>
      <x:c r="B32" s="19" t="str">
        <x:v>Defend</x:v>
      </x:c>
      <x:c r="C32" s="19" t="str">
        <x:v>F2_DETERIORATION</x:v>
      </x:c>
      <x:c r="D32" s="26" t="str">
        <x:v>财务恶化动量</x:v>
      </x:c>
      <x:c r="E32" s="19" t="str">
        <x:v>03_financial_change_labels.csv</x:v>
      </x:c>
      <x:c r="F32" s="19" t="str">
        <x:v>cash_signed_log_change</x:v>
      </x:c>
      <x:c r="G32" s="26" t="str">
        <x:v>现金下降</x:v>
      </x:c>
      <x:c r="H32" s="19" t="str">
        <x:v>DOWN</x:v>
      </x:c>
      <x:c r="I32" s="26" t="str">
        <x:v>cash_change_eligible=True</x:v>
      </x:c>
      <x:c r="J32" s="22" t="n">
        <x:v>0.15</x:v>
      </x:c>
      <x:c r="K32" s="19" t="str">
        <x:v>false</x:v>
      </x:c>
      <x:c r="L32" s="22" t="n">
        <x:v>0.6</x:v>
      </x:c>
      <x:c r="M32" s="26" t="str">
        <x:v>exclude_and_reweight</x:v>
      </x:c>
      <x:c r="N32" s="26" t="str">
        <x:v>LIQUIDITY_DETERIORATION</x:v>
      </x:c>
      <x:c r="O32" s="19" t="str">
        <x:v>CASH_DETERIORATION</x:v>
      </x:c>
      <x:c r="P32" s="19" t="str">
        <x:v>EV03</x:v>
      </x:c>
      <x:c r="Q32" s="19" t="str">
        <x:v>A</x:v>
      </x:c>
      <x:c r="R32" s="26" t="str">
        <x:v>现金下降可能削弱短期支付能力</x:v>
      </x:c>
      <x:c r="S32" s="19" t="str">
        <x:v>FIN_BASE_V1.0</x:v>
      </x:c>
    </x:row>
    <x:row r="33">
      <x:c r="A33" s="19" t="str">
        <x:v>F-D04</x:v>
      </x:c>
      <x:c r="B33" s="19" t="str">
        <x:v>Defend</x:v>
      </x:c>
      <x:c r="C33" s="19" t="str">
        <x:v>F2_DETERIORATION</x:v>
      </x:c>
      <x:c r="D33" s="26" t="str">
        <x:v>财务恶化动量</x:v>
      </x:c>
      <x:c r="E33" s="19" t="str">
        <x:v>03_financial_change_labels.csv</x:v>
      </x:c>
      <x:c r="F33" s="19" t="str">
        <x:v>current_assets_signed_log_change</x:v>
      </x:c>
      <x:c r="G33" s="26" t="str">
        <x:v>流动资产下降</x:v>
      </x:c>
      <x:c r="H33" s="19" t="str">
        <x:v>DOWN</x:v>
      </x:c>
      <x:c r="I33" s="26" t="str">
        <x:v>current_assets_change_eligible=True</x:v>
      </x:c>
      <x:c r="J33" s="22" t="n">
        <x:v>0.15</x:v>
      </x:c>
      <x:c r="K33" s="19" t="str">
        <x:v>false</x:v>
      </x:c>
      <x:c r="L33" s="22" t="n">
        <x:v>0.6</x:v>
      </x:c>
      <x:c r="M33" s="26" t="str">
        <x:v>exclude_and_reweight</x:v>
      </x:c>
      <x:c r="N33" s="26" t="str">
        <x:v>LIQUIDITY_DETERIORATION</x:v>
      </x:c>
      <x:c r="O33" s="19" t="str">
        <x:v>CURRENT_ASSET_DETERIORATION</x:v>
      </x:c>
      <x:c r="P33" s="19" t="str">
        <x:v>EV03</x:v>
      </x:c>
      <x:c r="Q33" s="19" t="str">
        <x:v>A</x:v>
      </x:c>
      <x:c r="R33" s="26" t="str">
        <x:v>流动资产下降可能削弱营运资金缓冲</x:v>
      </x:c>
      <x:c r="S33" s="19" t="str">
        <x:v>FIN_BASE_V1.0</x:v>
      </x:c>
    </x:row>
    <x:row r="34">
      <x:c r="A34" s="19" t="str">
        <x:v>F-D05</x:v>
      </x:c>
      <x:c r="B34" s="19" t="str">
        <x:v>Defend</x:v>
      </x:c>
      <x:c r="C34" s="19" t="str">
        <x:v>F2_DETERIORATION</x:v>
      </x:c>
      <x:c r="D34" s="26" t="str">
        <x:v>财务恶化动量</x:v>
      </x:c>
      <x:c r="E34" s="19" t="str">
        <x:v>03_financial_change_labels.csv</x:v>
      </x:c>
      <x:c r="F34" s="19" t="str">
        <x:v>employees_signed_log_change</x:v>
      </x:c>
      <x:c r="G34" s="26" t="str">
        <x:v>员工下降</x:v>
      </x:c>
      <x:c r="H34" s="19" t="str">
        <x:v>DOWN</x:v>
      </x:c>
      <x:c r="I34" s="26" t="str">
        <x:v>employees_change_eligible=True</x:v>
      </x:c>
      <x:c r="J34" s="22" t="n">
        <x:v>0.1</x:v>
      </x:c>
      <x:c r="K34" s="19" t="str">
        <x:v>false</x:v>
      </x:c>
      <x:c r="L34" s="22" t="n">
        <x:v>0.6</x:v>
      </x:c>
      <x:c r="M34" s="26" t="str">
        <x:v>exclude_and_reweight</x:v>
      </x:c>
      <x:c r="N34" s="26" t="str">
        <x:v>OPERATING_CONTRACTION</x:v>
      </x:c>
      <x:c r="O34" s="19" t="str">
        <x:v>EMPLOYEE_CONTRACTION</x:v>
      </x:c>
      <x:c r="P34" s="19" t="str">
        <x:v>EV02</x:v>
      </x:c>
      <x:c r="Q34" s="19" t="str">
        <x:v>B</x:v>
      </x:c>
      <x:c r="R34" s="26" t="str">
        <x:v>员工下降是收缩代理但需要行业条件解释</x:v>
      </x:c>
      <x:c r="S34" s="19" t="str">
        <x:v>FIN_BASE_V1.0</x:v>
      </x:c>
    </x:row>
    <x:row r="35">
      <x:c r="A35" s="19" t="str">
        <x:v>F-D06</x:v>
      </x:c>
      <x:c r="B35" s="19" t="str">
        <x:v>Defend</x:v>
      </x:c>
      <x:c r="C35" s="19" t="str">
        <x:v>F2_DETERIORATION</x:v>
      </x:c>
      <x:c r="D35" s="26" t="str">
        <x:v>财务恶化动量</x:v>
      </x:c>
      <x:c r="E35" s="19" t="str">
        <x:v>derived</x:v>
      </x:c>
      <x:c r="F35" s="19" t="str">
        <x:v>creditors_change_AND_balance_sheet_weakening</x:v>
      </x:c>
      <x:c r="G35" s="26" t="str">
        <x:v>债权人增长伴随资产负债表恶化</x:v>
      </x:c>
      <x:c r="H35" s="19" t="str">
        <x:v>AND</x:v>
      </x:c>
      <x:c r="I35" s="26" t="str">
        <x:v>creditors_total_change_eligible=True AND creditors_total_signed_log_change&gt;0 AND balance_sheet_weakening&gt;0</x:v>
      </x:c>
      <x:c r="J35" s="22" t="n">
        <x:v>0.15</x:v>
      </x:c>
      <x:c r="K35" s="19" t="str">
        <x:v>false</x:v>
      </x:c>
      <x:c r="L35" s="22" t="n">
        <x:v>0.6</x:v>
      </x:c>
      <x:c r="M35" s="26" t="str">
        <x:v>exclude_and_reweight</x:v>
      </x:c>
      <x:c r="N35" s="26" t="str">
        <x:v>CREDITOR_STRESS_INTERACTION</x:v>
      </x:c>
      <x:c r="O35" s="19" t="str">
        <x:v>CREDITOR_GROWTH_WITH_BALANCE_SHEET_WEAKENING</x:v>
      </x:c>
      <x:c r="P35" s="19" t="str">
        <x:v>EV04</x:v>
      </x:c>
      <x:c r="Q35" s="19" t="str">
        <x:v>C</x:v>
      </x:c>
      <x:c r="R35" s="26" t="str">
        <x:v>避免将债权人负债增长无条件解释为压力</x:v>
      </x:c>
      <x:c r="S35" s="19" t="str">
        <x:v>FIN_BASE_V1.0</x:v>
      </x:c>
    </x:row>
    <x:row r="36">
      <x:c r="A36" s="19" t="str">
        <x:v>F-T01</x:v>
      </x:c>
      <x:c r="B36" s="19" t="str">
        <x:v>Defend</x:v>
      </x:c>
      <x:c r="C36" s="19" t="str">
        <x:v>F3_TRAJECTORY</x:v>
      </x:c>
      <x:c r="D36" s="26" t="str">
        <x:v>风险轨迹</x:v>
      </x:c>
      <x:c r="E36" s="19" t="str">
        <x:v>04_financial_transition_labels.csv</x:v>
      </x:c>
      <x:c r="F36" s="19" t="str">
        <x:v>negative_equity_transition</x:v>
      </x:c>
      <x:c r="G36" s="26" t="str">
        <x:v>负权益轨迹</x:v>
      </x:c>
      <x:c r="H36" s="19" t="str">
        <x:v>TRAJECTORY_MAP</x:v>
      </x:c>
      <x:c r="I36" s="26" t="str">
        <x:v>negative_equity_transition_eligible=True</x:v>
      </x:c>
      <x:c r="J36" s="22" t="n">
        <x:v>0.333333</x:v>
      </x:c>
      <x:c r="K36" s="19" t="str">
        <x:v>false</x:v>
      </x:c>
      <x:c r="L36" s="22" t="n">
        <x:v>0.6</x:v>
      </x:c>
      <x:c r="M36" s="26" t="str">
        <x:v>exclude_and_reweight</x:v>
      </x:c>
      <x:c r="N36" s="26" t="str">
        <x:v>CAPITAL_TRAJECTORY</x:v>
      </x:c>
      <x:c r="O36" s="19" t="str">
        <x:v>NEGATIVE_EQUITY_TRAJECTORY</x:v>
      </x:c>
      <x:c r="P36" s="19" t="str">
        <x:v>EV03</x:v>
      </x:c>
      <x:c r="Q36" s="19" t="str">
        <x:v>A</x:v>
      </x:c>
      <x:c r="R36" s="26" t="str">
        <x:v>onset100 persistent80 recovery20 stable0</x:v>
      </x:c>
      <x:c r="S36" s="19" t="str">
        <x:v>FIN_BASE_V1.0</x:v>
      </x:c>
    </x:row>
    <x:row r="37">
      <x:c r="A37" s="19" t="str">
        <x:v>F-T02</x:v>
      </x:c>
      <x:c r="B37" s="19" t="str">
        <x:v>Defend</x:v>
      </x:c>
      <x:c r="C37" s="19" t="str">
        <x:v>F3_TRAJECTORY</x:v>
      </x:c>
      <x:c r="D37" s="26" t="str">
        <x:v>风险轨迹</x:v>
      </x:c>
      <x:c r="E37" s="19" t="str">
        <x:v>04_financial_transition_labels.csv</x:v>
      </x:c>
      <x:c r="F37" s="19" t="str">
        <x:v>working_capital_transition</x:v>
      </x:c>
      <x:c r="G37" s="26" t="str">
        <x:v>营运资金赤字轨迹</x:v>
      </x:c>
      <x:c r="H37" s="19" t="str">
        <x:v>TRAJECTORY_MAP</x:v>
      </x:c>
      <x:c r="I37" s="26" t="str">
        <x:v>working_capital_transition_eligible=True</x:v>
      </x:c>
      <x:c r="J37" s="22" t="n">
        <x:v>0.333333</x:v>
      </x:c>
      <x:c r="K37" s="19" t="str">
        <x:v>false</x:v>
      </x:c>
      <x:c r="L37" s="22" t="n">
        <x:v>0.6</x:v>
      </x:c>
      <x:c r="M37" s="26" t="str">
        <x:v>exclude_and_reweight</x:v>
      </x:c>
      <x:c r="N37" s="26" t="str">
        <x:v>LIQUIDITY_TRAJECTORY</x:v>
      </x:c>
      <x:c r="O37" s="19" t="str">
        <x:v>WORKING_CAPITAL_TRAJECTORY</x:v>
      </x:c>
      <x:c r="P37" s="19" t="str">
        <x:v>EV03</x:v>
      </x:c>
      <x:c r="Q37" s="19" t="str">
        <x:v>A</x:v>
      </x:c>
      <x:c r="R37" s="26" t="str">
        <x:v>onset100 persistent80 recovery20 stable0</x:v>
      </x:c>
      <x:c r="S37" s="19" t="str">
        <x:v>FIN_BASE_V1.0</x:v>
      </x:c>
    </x:row>
    <x:row r="38">
      <x:c r="A38" s="20" t="str">
        <x:v>F-T03</x:v>
      </x:c>
      <x:c r="B38" s="20" t="str">
        <x:v>Defend</x:v>
      </x:c>
      <x:c r="C38" s="20" t="str">
        <x:v>F3_TRAJECTORY</x:v>
      </x:c>
      <x:c r="D38" s="27" t="str">
        <x:v>风险轨迹</x:v>
      </x:c>
      <x:c r="E38" s="20" t="str">
        <x:v>04_financial_transition_labels.csv</x:v>
      </x:c>
      <x:c r="F38" s="20" t="str">
        <x:v>creditor_pressure_transition</x:v>
      </x:c>
      <x:c r="G38" s="27" t="str">
        <x:v>债权人压力轨迹</x:v>
      </x:c>
      <x:c r="H38" s="20" t="str">
        <x:v>TRAJECTORY_MAP</x:v>
      </x:c>
      <x:c r="I38" s="27" t="str">
        <x:v>creditor_pressure_transition_eligible=True</x:v>
      </x:c>
      <x:c r="J38" s="23" t="n">
        <x:v>0.333334</x:v>
      </x:c>
      <x:c r="K38" s="20" t="str">
        <x:v>false</x:v>
      </x:c>
      <x:c r="L38" s="23" t="n">
        <x:v>0.6</x:v>
      </x:c>
      <x:c r="M38" s="27" t="str">
        <x:v>exclude_and_reweight</x:v>
      </x:c>
      <x:c r="N38" s="27" t="str">
        <x:v>CREDITOR_TRAJECTORY</x:v>
      </x:c>
      <x:c r="O38" s="20" t="str">
        <x:v>CREDITOR_PRESSURE_TRAJECTORY</x:v>
      </x:c>
      <x:c r="P38" s="20" t="str">
        <x:v>EV04</x:v>
      </x:c>
      <x:c r="Q38" s="20" t="str">
        <x:v>A</x:v>
      </x:c>
      <x:c r="R38" s="27" t="str">
        <x:v>onset100 persistent75 recovery20 stable0</x:v>
      </x:c>
      <x:c r="S38" s="20" t="str">
        <x:v>FIN_BASE_V1.0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21" hidden="0" customWidth="1"/>
    <x:col min="4" max="4" width="50" hidden="0" customWidth="1"/>
    <x:col min="5" max="5" width="50" hidden="0" customWidth="1"/>
    <x:col min="6" max="6" width="12" hidden="0" customWidth="1"/>
  </x:cols>
  <x:sheetData>
    <x:row r="1">
      <x:c r="A1" s="24" t="str">
        <x:v>field_name</x:v>
      </x:c>
      <x:c r="B1" s="24" t="str">
        <x:v>source_table</x:v>
      </x:c>
      <x:c r="C1" s="24" t="str">
        <x:v>exclusion_type</x:v>
      </x:c>
      <x:c r="D1" s="24" t="str">
        <x:v>rationale_cn</x:v>
      </x:c>
      <x:c r="E1" s="24" t="str">
        <x:v>allowed_use</x:v>
      </x:c>
      <x:c r="F1" s="24" t="str">
        <x:v>version</x:v>
      </x:c>
    </x:row>
    <x:row r="2">
      <x:c r="A2" s="18" t="str">
        <x:v>profit_loss</x:v>
      </x:c>
      <x:c r="B2" s="18" t="str">
        <x:v>01_financial_status_labels_100k.csv</x:v>
      </x:c>
      <x:c r="C2" s="18" t="str">
        <x:v>excluded_from_score</x:v>
      </x:c>
      <x:c r="D2" s="25" t="str">
        <x:v>覆盖率过低且跨报表类别可比性不足</x:v>
      </x:c>
      <x:c r="E2" s="25" t="str">
        <x:v>case_review_only</x:v>
      </x:c>
      <x:c r="F2" s="18" t="str">
        <x:v>FIN_BASE_V1.0</x:v>
      </x:c>
    </x:row>
    <x:row r="3">
      <x:c r="A3" s="19" t="str">
        <x:v>reported_loss_flag</x:v>
      </x:c>
      <x:c r="B3" s="19" t="str">
        <x:v>01_financial_status_labels_100k.csv</x:v>
      </x:c>
      <x:c r="C3" s="19" t="str">
        <x:v>supplementary_only</x:v>
      </x:c>
      <x:c r="D3" s="26" t="str">
        <x:v>有效覆盖率过低会破坏公司间正式分数可比性</x:v>
      </x:c>
      <x:c r="E3" s="26" t="str">
        <x:v>reason_code_when_eligible</x:v>
      </x:c>
      <x:c r="F3" s="19" t="str">
        <x:v>FIN_BASE_V1.0</x:v>
      </x:c>
    </x:row>
    <x:row r="4">
      <x:c r="A4" s="19" t="str">
        <x:v>financial_evidence_tier</x:v>
      </x:c>
      <x:c r="B4" s="19" t="str">
        <x:v>05_financial_data_quality_labels_100k.csv</x:v>
      </x:c>
      <x:c r="C4" s="19" t="str">
        <x:v>control_only</x:v>
      </x:c>
      <x:c r="D4" s="26" t="str">
        <x:v>表示证据类型而非业务价值</x:v>
      </x:c>
      <x:c r="E4" s="26" t="str">
        <x:v>confidence_and_distribution_audit</x:v>
      </x:c>
      <x:c r="F4" s="19" t="str">
        <x:v>FIN_BASE_V1.0</x:v>
      </x:c>
    </x:row>
    <x:row r="5">
      <x:c r="A5" s="19" t="str">
        <x:v>core_fields_complete_flag</x:v>
      </x:c>
      <x:c r="B5" s="19" t="str">
        <x:v>05_financial_data_quality_labels_100k.csv</x:v>
      </x:c>
      <x:c r="C5" s="19" t="str">
        <x:v>control_only</x:v>
      </x:c>
      <x:c r="D5" s="26" t="str">
        <x:v>表示数据完整度而非业务机会</x:v>
      </x:c>
      <x:c r="E5" s="26" t="str">
        <x:v>coverage_and_confidence</x:v>
      </x:c>
      <x:c r="F5" s="19" t="str">
        <x:v>FIN_BASE_V1.0</x:v>
      </x:c>
    </x:row>
    <x:row r="6">
      <x:c r="A6" s="19" t="str">
        <x:v>accounts_age_days_at_snapshot</x:v>
      </x:c>
      <x:c r="B6" s="19" t="str">
        <x:v>05_financial_data_quality_labels_100k.csv</x:v>
      </x:c>
      <x:c r="C6" s="19" t="str">
        <x:v>control_only</x:v>
      </x:c>
      <x:c r="D6" s="26" t="str">
        <x:v>表示时效性而非业务方向</x:v>
      </x:c>
      <x:c r="E6" s="26" t="str">
        <x:v>confidence_and_filtering</x:v>
      </x:c>
      <x:c r="F6" s="19" t="str">
        <x:v>FIN_BASE_V1.0</x:v>
      </x:c>
    </x:row>
    <x:row r="7">
      <x:c r="A7" s="19" t="str">
        <x:v>financial_cluster_id</x:v>
      </x:c>
      <x:c r="B7" s="19" t="str">
        <x:v>external_cluster_output</x:v>
      </x:c>
      <x:c r="C7" s="19" t="str">
        <x:v>excluded_from_base_score</x:v>
      </x:c>
      <x:c r="D7" s="26" t="str">
        <x:v>基础分阶段避免重复计算同一财务结构</x:v>
      </x:c>
      <x:c r="E7" s="26" t="str">
        <x:v>distribution_audit_then_residual_calibration</x:v>
      </x:c>
      <x:c r="F7" s="19" t="str">
        <x:v>FIN_BASE_V1.0</x:v>
      </x:c>
    </x:row>
    <x:row r="8">
      <x:c r="A8" s="19" t="str">
        <x:v>Accounts_AccountCategory</x:v>
      </x:c>
      <x:c r="B8" s="19" t="str">
        <x:v>all_company_level_tables</x:v>
      </x:c>
      <x:c r="C8" s="19" t="str">
        <x:v>peer_control_only</x:v>
      </x:c>
      <x:c r="D8" s="26" t="str">
        <x:v>Companies House申报类别不是Lloyds业务价值标签</x:v>
      </x:c>
      <x:c r="E8" s="26" t="str">
        <x:v>peer_group_and_subgroup_rank</x:v>
      </x:c>
      <x:c r="F8" s="19" t="str">
        <x:v>FIN_BASE_V1.0</x:v>
      </x:c>
    </x:row>
    <x:row r="9">
      <x:c r="A9" s="19" t="str">
        <x:v>primary_sector</x:v>
      </x:c>
      <x:c r="B9" s="19" t="str">
        <x:v>all_company_level_tables</x:v>
      </x:c>
      <x:c r="C9" s="19" t="str">
        <x:v>peer_control_only</x:v>
      </x:c>
      <x:c r="D9" s="26" t="str">
        <x:v>行业用于标准化而不是直接赋分</x:v>
      </x:c>
      <x:c r="E9" s="26" t="str">
        <x:v>peer_group_and_subgroup_rank</x:v>
      </x:c>
      <x:c r="F9" s="19" t="str">
        <x:v>FIN_BASE_V1.0</x:v>
      </x:c>
    </x:row>
    <x:row r="10">
      <x:c r="A10" s="19" t="str">
        <x:v>change_band</x:v>
      </x:c>
      <x:c r="B10" s="19" t="str">
        <x:v>03_financial_change_labels.csv</x:v>
      </x:c>
      <x:c r="C10" s="19" t="str">
        <x:v>explanation_only</x:v>
      </x:c>
      <x:c r="D10" s="26" t="str">
        <x:v>连续signed-log变化已进入分数避免重复计分</x:v>
      </x:c>
      <x:c r="E10" s="26" t="str">
        <x:v>reason_code_and_reporting</x:v>
      </x:c>
      <x:c r="F10" s="19" t="str">
        <x:v>FIN_BASE_V1.0</x:v>
      </x:c>
    </x:row>
    <x:row r="11">
      <x:c r="A11" s="19" t="str">
        <x:v>scale_band</x:v>
      </x:c>
      <x:c r="B11" s="19" t="str">
        <x:v>02_financial_scale_labels_100k.csv</x:v>
      </x:c>
      <x:c r="C11" s="19" t="str">
        <x:v>explanation_only</x:v>
      </x:c>
      <x:c r="D11" s="26" t="str">
        <x:v>连续同行百分位已进入分数避免重复计分</x:v>
      </x:c>
      <x:c r="E11" s="26" t="str">
        <x:v>reason_code_and_reporting</x:v>
      </x:c>
      <x:c r="F11" s="19" t="str">
        <x:v>FIN_BASE_V1.0</x:v>
      </x:c>
    </x:row>
    <x:row r="12">
      <x:c r="A12" s="20" t="str">
        <x:v>extreme_amount_p999_flag</x:v>
      </x:c>
      <x:c r="B12" s="20" t="str">
        <x:v>05_financial_data_quality_labels_100k.csv</x:v>
      </x:c>
      <x:c r="C12" s="20" t="str">
        <x:v>quality_control_only</x:v>
      </x:c>
      <x:c r="D12" s="27" t="str">
        <x:v>异常值标志用于审计而非业务评分</x:v>
      </x:c>
      <x:c r="E12" s="27" t="str">
        <x:v>data_quality_filter</x:v>
      </x:c>
      <x:c r="F12" s="20" t="str">
        <x:v>FIN_BASE_V1.0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" hidden="0" customWidth="1"/>
    <x:col min="2" max="2" width="19.8799991607666" hidden="0" customWidth="1"/>
    <x:col min="3" max="3" width="48" hidden="0" customWidth="1"/>
    <x:col min="4" max="4" width="48" hidden="0" customWidth="1"/>
    <x:col min="5" max="5" width="52" hidden="0" customWidth="1"/>
    <x:col min="6" max="6" width="52" hidden="0" customWidth="1"/>
    <x:col min="7" max="7" width="12.130000114440918" hidden="0" customWidth="1"/>
  </x:cols>
  <x:sheetData>
    <x:row r="1">
      <x:c r="A1" s="24" t="str">
        <x:v>evidence_id</x:v>
      </x:c>
      <x:c r="B1" s="24" t="str">
        <x:v>source_type</x:v>
      </x:c>
      <x:c r="C1" s="24" t="str">
        <x:v>citation</x:v>
      </x:c>
      <x:c r="D1" s="24" t="str">
        <x:v>source_url</x:v>
      </x:c>
      <x:c r="E1" s="24" t="str">
        <x:v>supports_cn</x:v>
      </x:c>
      <x:c r="F1" s="24" t="str">
        <x:v>limitations_cn</x:v>
      </x:c>
      <x:c r="G1" s="24" t="str">
        <x:v>review_status</x:v>
      </x:c>
    </x:row>
    <x:row r="2">
      <x:c r="A2" s="18" t="str">
        <x:v>EV01</x:v>
      </x:c>
      <x:c r="B2" s="18" t="str">
        <x:v>academic</x:v>
      </x:c>
      <x:c r="C2" s="25" t="str">
        <x:v>Berger, A. N. &amp; Udell, G. F. (1998), The Economics of Small Business Finance</x:v>
      </x:c>
      <x:c r="D2" s="25" t="str">
        <x:v>https://papers.ssrn.com/sol3/Delivery.cfm/98102601.pdf?abstractid=137991</x:v>
      </x:c>
      <x:c r="E2" s="25" t="str">
        <x:v>公司生命周期、规模和结构对应不同融资方式</x:v>
      </x:c>
      <x:c r="F2" s="25" t="str">
        <x:v>不能从公开财务报表直接推断具体Lloyds产品需求</x:v>
      </x:c>
      <x:c r="G2" s="18" t="str">
        <x:v>reviewed</x:v>
      </x:c>
    </x:row>
    <x:row r="3">
      <x:c r="A3" s="19" t="str">
        <x:v>EV02</x:v>
      </x:c>
      <x:c r="B3" s="19" t="str">
        <x:v>academic</x:v>
      </x:c>
      <x:c r="C3" s="26" t="str">
        <x:v>Carpenter, R. E. &amp; Petersen, B. C. (2002), Is the Growth of Small Firms Constrained by Internal Finance?</x:v>
      </x:c>
      <x:c r="D3" s="26" t="str">
        <x:v>https://doi.org/10.1162/003465302317411541</x:v>
      </x:c>
      <x:c r="E3" s="26" t="str">
        <x:v>小企业资产和就业增长可能受到内部融资约束</x:v>
      </x:c>
      <x:c r="F3" s="26" t="str">
        <x:v>研究结论不直接给出本项目权重或阈值</x:v>
      </x:c>
      <x:c r="G3" s="19" t="str">
        <x:v>reviewed</x:v>
      </x:c>
    </x:row>
    <x:row r="4">
      <x:c r="A4" s="19" t="str">
        <x:v>EV03</x:v>
      </x:c>
      <x:c r="B4" s="19" t="str">
        <x:v>regulatory_and_academic</x:v>
      </x:c>
      <x:c r="C4" s="26" t="str">
        <x:v>EBA Guidelines on loan origination and monitoring; Altman (1968); Ohlson (1980)</x:v>
      </x:c>
      <x:c r="D4" s="26" t="str">
        <x:v>https://www.eba.europa.eu/activities/single-rulebook/regulatory-activities/credit-risk/guidelines-loan-origination-and-monitoring?version=2020</x:v>
      </x:c>
      <x:c r="E4" s="26" t="str">
        <x:v>权益、流动性、资产覆盖和趋势可用于财务压力评估</x:v>
      </x:c>
      <x:c r="F4" s="26" t="str">
        <x:v>本项目字段为公开报表代理且不能复制正式银行信用评估</x:v>
      </x:c>
      <x:c r="G4" s="19" t="str">
        <x:v>reviewed</x:v>
      </x:c>
    </x:row>
    <x:row r="5">
      <x:c r="A5" s="19" t="str">
        <x:v>EV04</x:v>
      </x:c>
      <x:c r="B5" s="19" t="str">
        <x:v>academic</x:v>
      </x:c>
      <x:c r="C5" s="26" t="str">
        <x:v>Petersen, M. A. &amp; Rajan, R. G. (1997), Trade Credit: Theories and Evidence</x:v>
      </x:c>
      <x:c r="D5" s="26" t="str">
        <x:v>https://www.nber.org/papers/w5602</x:v>
      </x:c>
      <x:c r="E5" s="26" t="str">
        <x:v>贸易信贷和债权人关系可反映短期融资活动</x:v>
      </x:c>
      <x:c r="F5" s="26" t="str">
        <x:v>creditors_total不等于严格定义的贸易信贷或流动负债</x:v>
      </x:c>
      <x:c r="G5" s="19" t="str">
        <x:v>reviewed</x:v>
      </x:c>
    </x:row>
    <x:row r="6">
      <x:c r="A6" s="19" t="str">
        <x:v>EV05</x:v>
      </x:c>
      <x:c r="B6" s="19" t="str">
        <x:v>academic</x:v>
      </x:c>
      <x:c r="C6" s="26" t="str">
        <x:v>Petersen, M. A. &amp; Rajan, R. G. (1994), The Benefits of Lending Relationships</x:v>
      </x:c>
      <x:c r="D6" s="26" t="str">
        <x:v>https://onlinelibrary.wiley.com/doi/abs/10.1111/j.1540-6261.1994.tb04418.x</x:v>
      </x:c>
      <x:c r="E6" s="26" t="str">
        <x:v>更深入的银行关系与融资可获得性相关</x:v>
      </x:c>
      <x:c r="F6" s="26" t="str">
        <x:v>无法证明公开财务结构等同于真实关系深度</x:v>
      </x:c>
      <x:c r="G6" s="19" t="str">
        <x:v>reviewed</x:v>
      </x:c>
    </x:row>
    <x:row r="7">
      <x:c r="A7" s="19" t="str">
        <x:v>EV06</x:v>
      </x:c>
      <x:c r="B7" s="19" t="str">
        <x:v>business_and_method</x:v>
      </x:c>
      <x:c r="C7" s="26" t="str">
        <x:v>Lloyds Working Capital public guidance; project business hypothesis</x:v>
      </x:c>
      <x:c r="D7" s="26" t="str">
        <x:v>https://www.lloydsbank.com/business/corporate-banking/working-capital.html</x:v>
      </x:c>
      <x:c r="E7" s="26" t="str">
        <x:v>应收账款、固定资产和营运资金结构可对应潜在服务场景</x:v>
      </x:c>
      <x:c r="F7" s="26" t="str">
        <x:v>产品映射是代理假设而非已观察需求</x:v>
      </x:c>
      <x:c r="G7" s="19" t="str">
        <x:v>reviewed</x:v>
      </x:c>
    </x:row>
    <x:row r="8">
      <x:c r="A8" s="20" t="str">
        <x:v>EV07</x:v>
      </x:c>
      <x:c r="B8" s="20" t="str">
        <x:v>methodology</x:v>
      </x:c>
      <x:c r="C8" s="27" t="str">
        <x:v>OECD/JRC (2008), Handbook on Constructing Composite Indicators</x:v>
      </x:c>
      <x:c r="D8" s="27" t="str">
        <x:v>https://www.oecd.org/en/publications/handbook-on-constructing-composite-indicators-methodology-and-user-guide_9789264043466-en.html</x:v>
      </x:c>
      <x:c r="E8" s="27" t="str">
        <x:v>支持理论框架、标准化、权重方案和稳健性分析</x:v>
      </x:c>
      <x:c r="F8" s="27" t="str">
        <x:v>不提供本项目具体财务权重</x:v>
      </x:c>
      <x:c r="G8" s="20" t="str">
        <x:v>reviewed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6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29" t="str">
        <x:v>Configuration Checks</x:v>
      </x:c>
      <x:c r="B1" s="29"/>
      <x:c r="C1" s="29"/>
      <x:c r="D1" s="29"/>
      <x:c r="E1" s="29"/>
      <x:c r="F1" s="29"/>
      <x:c r="G1" s="29"/>
    </x:row>
    <x:row r="2">
      <x:c r="A2" s="29"/>
      <x:c r="B2" s="29"/>
      <x:c r="C2" s="29"/>
      <x:c r="D2" s="29"/>
      <x:c r="E2" s="29"/>
      <x:c r="F2" s="29"/>
      <x:c r="G2" s="29"/>
    </x:row>
    <x:row r="4">
      <x:c r="A4" s="32" t="str">
        <x:v>Check ID</x:v>
      </x:c>
      <x:c r="B4" s="32" t="str">
        <x:v>Scenario</x:v>
      </x:c>
      <x:c r="C4" s="32" t="str">
        <x:v>Dimension</x:v>
      </x:c>
      <x:c r="D4" s="32" t="str">
        <x:v>Actual</x:v>
      </x:c>
      <x:c r="E4" s="32" t="str">
        <x:v>Expected</x:v>
      </x:c>
      <x:c r="F4" s="32" t="str">
        <x:v>Difference</x:v>
      </x:c>
      <x:c r="G4" s="32" t="str">
        <x:v>Status</x:v>
      </x:c>
    </x:row>
    <x:row r="5">
      <x:c r="A5" s="33" t="str">
        <x:v>W_EW_Deepen</x:v>
      </x:c>
      <x:c r="B5" s="33" t="str">
        <x:v>EW</x:v>
      </x:c>
      <x:c r="C5" s="33" t="str">
        <x:v>Deepen</x:v>
      </x:c>
      <x:c r="D5" s="34" t="n">
        <x:f>SUMIFS('Weight_Scenarios'!$F$2:$F$55,'Weight_Scenarios'!$A$2:$A$55,B5,'Weight_Scenarios'!$C$2:$C$55,C5)</x:f>
        <x:v>1</x:v>
      </x:c>
      <x:c r="E5" s="34" t="n">
        <x:v>1</x:v>
      </x:c>
      <x:c r="F5" s="34" t="n">
        <x:f>D5-E5</x:f>
        <x:v>0</x:v>
      </x:c>
      <x:c r="G5" s="33" t="str">
        <x:f>IF(ABS(F5)&lt;0.00001,"OK","FAIL")</x:f>
        <x:v>OK</x:v>
      </x:c>
    </x:row>
    <x:row r="6">
      <x:c r="A6" s="33" t="str">
        <x:v>W_EW_Grow</x:v>
      </x:c>
      <x:c r="B6" s="33" t="str">
        <x:v>EW</x:v>
      </x:c>
      <x:c r="C6" s="33" t="str">
        <x:v>Grow</x:v>
      </x:c>
      <x:c r="D6" s="34" t="n">
        <x:f>SUMIFS('Weight_Scenarios'!$F$2:$F$55,'Weight_Scenarios'!$A$2:$A$55,B6,'Weight_Scenarios'!$C$2:$C$55,C6)</x:f>
        <x:v>1</x:v>
      </x:c>
      <x:c r="E6" s="34" t="n">
        <x:v>1</x:v>
      </x:c>
      <x:c r="F6" s="34" t="n">
        <x:f>D6-E6</x:f>
        <x:v>0</x:v>
      </x:c>
      <x:c r="G6" s="33" t="str">
        <x:f>IF(ABS(F6)&lt;0.00001,"OK","FAIL")</x:f>
        <x:v>OK</x:v>
      </x:c>
    </x:row>
    <x:row r="7">
      <x:c r="A7" s="33" t="str">
        <x:v>W_EW_Defend</x:v>
      </x:c>
      <x:c r="B7" s="33" t="str">
        <x:v>EW</x:v>
      </x:c>
      <x:c r="C7" s="33" t="str">
        <x:v>Defend</x:v>
      </x:c>
      <x:c r="D7" s="34" t="n">
        <x:f>SUMIFS('Weight_Scenarios'!$F$2:$F$55,'Weight_Scenarios'!$A$2:$A$55,B7,'Weight_Scenarios'!$C$2:$C$55,C7)</x:f>
        <x:v>1</x:v>
      </x:c>
      <x:c r="E7" s="34" t="n">
        <x:v>1</x:v>
      </x:c>
      <x:c r="F7" s="34" t="n">
        <x:f>D7-E7</x:f>
        <x:v>0</x:v>
      </x:c>
      <x:c r="G7" s="33" t="str">
        <x:f>IF(ABS(F7)&lt;0.00001,"OK","FAIL")</x:f>
        <x:v>OK</x:v>
      </x:c>
    </x:row>
    <x:row r="8">
      <x:c r="A8" s="33" t="str">
        <x:v>W_BASE_Deepen</x:v>
      </x:c>
      <x:c r="B8" s="33" t="str">
        <x:v>BASE</x:v>
      </x:c>
      <x:c r="C8" s="33" t="str">
        <x:v>Deepen</x:v>
      </x:c>
      <x:c r="D8" s="34" t="n">
        <x:f>SUMIFS('Weight_Scenarios'!$F$2:$F$55,'Weight_Scenarios'!$A$2:$A$55,B8,'Weight_Scenarios'!$C$2:$C$55,C8)</x:f>
        <x:v>1</x:v>
      </x:c>
      <x:c r="E8" s="34" t="n">
        <x:v>1</x:v>
      </x:c>
      <x:c r="F8" s="34" t="n">
        <x:f>D8-E8</x:f>
        <x:v>0</x:v>
      </x:c>
      <x:c r="G8" s="33" t="str">
        <x:f>IF(ABS(F8)&lt;0.00001,"OK","FAIL")</x:f>
        <x:v>OK</x:v>
      </x:c>
    </x:row>
    <x:row r="9">
      <x:c r="A9" s="33" t="str">
        <x:v>W_BASE_Grow</x:v>
      </x:c>
      <x:c r="B9" s="33" t="str">
        <x:v>BASE</x:v>
      </x:c>
      <x:c r="C9" s="33" t="str">
        <x:v>Grow</x:v>
      </x:c>
      <x:c r="D9" s="34" t="n">
        <x:f>SUMIFS('Weight_Scenarios'!$F$2:$F$55,'Weight_Scenarios'!$A$2:$A$55,B9,'Weight_Scenarios'!$C$2:$C$55,C9)</x:f>
        <x:v>1</x:v>
      </x:c>
      <x:c r="E9" s="34" t="n">
        <x:v>1</x:v>
      </x:c>
      <x:c r="F9" s="34" t="n">
        <x:f>D9-E9</x:f>
        <x:v>0</x:v>
      </x:c>
      <x:c r="G9" s="33" t="str">
        <x:f>IF(ABS(F9)&lt;0.00001,"OK","FAIL")</x:f>
        <x:v>OK</x:v>
      </x:c>
    </x:row>
    <x:row r="10">
      <x:c r="A10" s="33" t="str">
        <x:v>W_BASE_Defend</x:v>
      </x:c>
      <x:c r="B10" s="33" t="str">
        <x:v>BASE</x:v>
      </x:c>
      <x:c r="C10" s="33" t="str">
        <x:v>Defend</x:v>
      </x:c>
      <x:c r="D10" s="34" t="n">
        <x:f>SUMIFS('Weight_Scenarios'!$F$2:$F$55,'Weight_Scenarios'!$A$2:$A$55,B10,'Weight_Scenarios'!$C$2:$C$55,C10)</x:f>
        <x:v>1</x:v>
      </x:c>
      <x:c r="E10" s="34" t="n">
        <x:v>1</x:v>
      </x:c>
      <x:c r="F10" s="34" t="n">
        <x:f>D10-E10</x:f>
        <x:v>0</x:v>
      </x:c>
      <x:c r="G10" s="33" t="str">
        <x:f>IF(ABS(F10)&lt;0.00001,"OK","FAIL")</x:f>
        <x:v>OK</x:v>
      </x:c>
    </x:row>
    <x:row r="11">
      <x:c r="A11" s="33" t="str">
        <x:v>W_STATIC_FOCUS_Deepen</x:v>
      </x:c>
      <x:c r="B11" s="33" t="str">
        <x:v>STATIC_FOCUS</x:v>
      </x:c>
      <x:c r="C11" s="33" t="str">
        <x:v>Deepen</x:v>
      </x:c>
      <x:c r="D11" s="34" t="n">
        <x:f>SUMIFS('Weight_Scenarios'!$F$2:$F$55,'Weight_Scenarios'!$A$2:$A$55,B11,'Weight_Scenarios'!$C$2:$C$55,C11)</x:f>
        <x:v>1</x:v>
      </x:c>
      <x:c r="E11" s="34" t="n">
        <x:v>1</x:v>
      </x:c>
      <x:c r="F11" s="34" t="n">
        <x:f>D11-E11</x:f>
        <x:v>0</x:v>
      </x:c>
      <x:c r="G11" s="33" t="str">
        <x:f>IF(ABS(F11)&lt;0.00001,"OK","FAIL")</x:f>
        <x:v>OK</x:v>
      </x:c>
    </x:row>
    <x:row r="12">
      <x:c r="A12" s="33" t="str">
        <x:v>W_STATIC_FOCUS_Grow</x:v>
      </x:c>
      <x:c r="B12" s="33" t="str">
        <x:v>STATIC_FOCUS</x:v>
      </x:c>
      <x:c r="C12" s="33" t="str">
        <x:v>Grow</x:v>
      </x:c>
      <x:c r="D12" s="34" t="n">
        <x:f>SUMIFS('Weight_Scenarios'!$F$2:$F$55,'Weight_Scenarios'!$A$2:$A$55,B12,'Weight_Scenarios'!$C$2:$C$55,C12)</x:f>
        <x:v>1</x:v>
      </x:c>
      <x:c r="E12" s="34" t="n">
        <x:v>1</x:v>
      </x:c>
      <x:c r="F12" s="34" t="n">
        <x:f>D12-E12</x:f>
        <x:v>0</x:v>
      </x:c>
      <x:c r="G12" s="33" t="str">
        <x:f>IF(ABS(F12)&lt;0.00001,"OK","FAIL")</x:f>
        <x:v>OK</x:v>
      </x:c>
    </x:row>
    <x:row r="13">
      <x:c r="A13" s="33" t="str">
        <x:v>W_STATIC_FOCUS_Defend</x:v>
      </x:c>
      <x:c r="B13" s="33" t="str">
        <x:v>STATIC_FOCUS</x:v>
      </x:c>
      <x:c r="C13" s="33" t="str">
        <x:v>Defend</x:v>
      </x:c>
      <x:c r="D13" s="34" t="n">
        <x:f>SUMIFS('Weight_Scenarios'!$F$2:$F$55,'Weight_Scenarios'!$A$2:$A$55,B13,'Weight_Scenarios'!$C$2:$C$55,C13)</x:f>
        <x:v>1</x:v>
      </x:c>
      <x:c r="E13" s="34" t="n">
        <x:v>1</x:v>
      </x:c>
      <x:c r="F13" s="34" t="n">
        <x:f>D13-E13</x:f>
        <x:v>0</x:v>
      </x:c>
      <x:c r="G13" s="33" t="str">
        <x:f>IF(ABS(F13)&lt;0.00001,"OK","FAIL")</x:f>
        <x:v>OK</x:v>
      </x:c>
    </x:row>
    <x:row r="14">
      <x:c r="A14" s="33" t="str">
        <x:v>W_DYNAMIC_FOCUS_Deepen</x:v>
      </x:c>
      <x:c r="B14" s="33" t="str">
        <x:v>DYNAMIC_FOCUS</x:v>
      </x:c>
      <x:c r="C14" s="33" t="str">
        <x:v>Deepen</x:v>
      </x:c>
      <x:c r="D14" s="34" t="n">
        <x:f>SUMIFS('Weight_Scenarios'!$F$2:$F$55,'Weight_Scenarios'!$A$2:$A$55,B14,'Weight_Scenarios'!$C$2:$C$55,C14)</x:f>
        <x:v>1</x:v>
      </x:c>
      <x:c r="E14" s="34" t="n">
        <x:v>1</x:v>
      </x:c>
      <x:c r="F14" s="34" t="n">
        <x:f>D14-E14</x:f>
        <x:v>0</x:v>
      </x:c>
      <x:c r="G14" s="33" t="str">
        <x:f>IF(ABS(F14)&lt;0.00001,"OK","FAIL")</x:f>
        <x:v>OK</x:v>
      </x:c>
    </x:row>
    <x:row r="15">
      <x:c r="A15" s="33" t="str">
        <x:v>W_DYNAMIC_FOCUS_Grow</x:v>
      </x:c>
      <x:c r="B15" s="33" t="str">
        <x:v>DYNAMIC_FOCUS</x:v>
      </x:c>
      <x:c r="C15" s="33" t="str">
        <x:v>Grow</x:v>
      </x:c>
      <x:c r="D15" s="34" t="n">
        <x:f>SUMIFS('Weight_Scenarios'!$F$2:$F$55,'Weight_Scenarios'!$A$2:$A$55,B15,'Weight_Scenarios'!$C$2:$C$55,C15)</x:f>
        <x:v>0.9999999999999999</x:v>
      </x:c>
      <x:c r="E15" s="34" t="n">
        <x:v>1</x:v>
      </x:c>
      <x:c r="F15" s="34" t="n">
        <x:f>D15-E15</x:f>
        <x:v>-1.1102230246251565e-16</x:v>
      </x:c>
      <x:c r="G15" s="33" t="str">
        <x:f>IF(ABS(F15)&lt;0.00001,"OK","FAIL")</x:f>
        <x:v>OK</x:v>
      </x:c>
    </x:row>
    <x:row r="16">
      <x:c r="A16" s="33" t="str">
        <x:v>W_DYNAMIC_FOCUS_Defend</x:v>
      </x:c>
      <x:c r="B16" s="33" t="str">
        <x:v>DYNAMIC_FOCUS</x:v>
      </x:c>
      <x:c r="C16" s="33" t="str">
        <x:v>Defend</x:v>
      </x:c>
      <x:c r="D16" s="34" t="n">
        <x:f>SUMIFS('Weight_Scenarios'!$F$2:$F$55,'Weight_Scenarios'!$A$2:$A$55,B16,'Weight_Scenarios'!$C$2:$C$55,C16)</x:f>
        <x:v>1</x:v>
      </x:c>
      <x:c r="E16" s="34" t="n">
        <x:v>1</x:v>
      </x:c>
      <x:c r="F16" s="34" t="n">
        <x:f>D16-E16</x:f>
        <x:v>0</x:v>
      </x:c>
      <x:c r="G16" s="33" t="str">
        <x:f>IF(ABS(F16)&lt;0.00001,"OK","FAIL")</x:f>
        <x:v>OK</x:v>
      </x:c>
    </x:row>
    <x:row r="17">
      <x:c r="A17" s="33" t="str">
        <x:v>W_CONSERVATIVE_Deepen</x:v>
      </x:c>
      <x:c r="B17" s="33" t="str">
        <x:v>CONSERVATIVE</x:v>
      </x:c>
      <x:c r="C17" s="33" t="str">
        <x:v>Deepen</x:v>
      </x:c>
      <x:c r="D17" s="34" t="n">
        <x:f>SUMIFS('Weight_Scenarios'!$F$2:$F$55,'Weight_Scenarios'!$A$2:$A$55,B17,'Weight_Scenarios'!$C$2:$C$55,C17)</x:f>
        <x:v>1</x:v>
      </x:c>
      <x:c r="E17" s="34" t="n">
        <x:v>1</x:v>
      </x:c>
      <x:c r="F17" s="34" t="n">
        <x:f>D17-E17</x:f>
        <x:v>0</x:v>
      </x:c>
      <x:c r="G17" s="33" t="str">
        <x:f>IF(ABS(F17)&lt;0.00001,"OK","FAIL")</x:f>
        <x:v>OK</x:v>
      </x:c>
    </x:row>
    <x:row r="18">
      <x:c r="A18" s="33" t="str">
        <x:v>W_CONSERVATIVE_Grow</x:v>
      </x:c>
      <x:c r="B18" s="33" t="str">
        <x:v>CONSERVATIVE</x:v>
      </x:c>
      <x:c r="C18" s="33" t="str">
        <x:v>Grow</x:v>
      </x:c>
      <x:c r="D18" s="34" t="n">
        <x:f>SUMIFS('Weight_Scenarios'!$F$2:$F$55,'Weight_Scenarios'!$A$2:$A$55,B18,'Weight_Scenarios'!$C$2:$C$55,C18)</x:f>
        <x:v>1</x:v>
      </x:c>
      <x:c r="E18" s="34" t="n">
        <x:v>1</x:v>
      </x:c>
      <x:c r="F18" s="34" t="n">
        <x:f>D18-E18</x:f>
        <x:v>0</x:v>
      </x:c>
      <x:c r="G18" s="33" t="str">
        <x:f>IF(ABS(F18)&lt;0.00001,"OK","FAIL")</x:f>
        <x:v>OK</x:v>
      </x:c>
    </x:row>
    <x:row r="19">
      <x:c r="A19" s="33" t="str">
        <x:v>W_CONSERVATIVE_Defend</x:v>
      </x:c>
      <x:c r="B19" s="33" t="str">
        <x:v>CONSERVATIVE</x:v>
      </x:c>
      <x:c r="C19" s="33" t="str">
        <x:v>Defend</x:v>
      </x:c>
      <x:c r="D19" s="34" t="n">
        <x:f>SUMIFS('Weight_Scenarios'!$F$2:$F$55,'Weight_Scenarios'!$A$2:$A$55,B19,'Weight_Scenarios'!$C$2:$C$55,C19)</x:f>
        <x:v>1</x:v>
      </x:c>
      <x:c r="E19" s="34" t="n">
        <x:v>1</x:v>
      </x:c>
      <x:c r="F19" s="34" t="n">
        <x:f>D19-E19</x:f>
        <x:v>0</x:v>
      </x:c>
      <x:c r="G19" s="33" t="str">
        <x:f>IF(ABS(F19)&lt;0.00001,"OK","FAIL")</x:f>
        <x:v>OK</x:v>
      </x:c>
    </x:row>
    <x:row r="20">
      <x:c r="A20" s="33" t="str">
        <x:v>W_OPPORTUNITY_FOCUS_Deepen</x:v>
      </x:c>
      <x:c r="B20" s="33" t="str">
        <x:v>OPPORTUNITY_FOCUS</x:v>
      </x:c>
      <x:c r="C20" s="33" t="str">
        <x:v>Deepen</x:v>
      </x:c>
      <x:c r="D20" s="34" t="n">
        <x:f>SUMIFS('Weight_Scenarios'!$F$2:$F$55,'Weight_Scenarios'!$A$2:$A$55,B20,'Weight_Scenarios'!$C$2:$C$55,C20)</x:f>
        <x:v>1</x:v>
      </x:c>
      <x:c r="E20" s="34" t="n">
        <x:v>1</x:v>
      </x:c>
      <x:c r="F20" s="34" t="n">
        <x:f>D20-E20</x:f>
        <x:v>0</x:v>
      </x:c>
      <x:c r="G20" s="33" t="str">
        <x:f>IF(ABS(F20)&lt;0.00001,"OK","FAIL")</x:f>
        <x:v>OK</x:v>
      </x:c>
    </x:row>
    <x:row r="21">
      <x:c r="A21" s="33" t="str">
        <x:v>W_OPPORTUNITY_FOCUS_Grow</x:v>
      </x:c>
      <x:c r="B21" s="33" t="str">
        <x:v>OPPORTUNITY_FOCUS</x:v>
      </x:c>
      <x:c r="C21" s="33" t="str">
        <x:v>Grow</x:v>
      </x:c>
      <x:c r="D21" s="34" t="n">
        <x:f>SUMIFS('Weight_Scenarios'!$F$2:$F$55,'Weight_Scenarios'!$A$2:$A$55,B21,'Weight_Scenarios'!$C$2:$C$55,C21)</x:f>
        <x:v>0.9999999999999999</x:v>
      </x:c>
      <x:c r="E21" s="34" t="n">
        <x:v>1</x:v>
      </x:c>
      <x:c r="F21" s="34" t="n">
        <x:f>D21-E21</x:f>
        <x:v>-1.1102230246251565e-16</x:v>
      </x:c>
      <x:c r="G21" s="33" t="str">
        <x:f>IF(ABS(F21)&lt;0.00001,"OK","FAIL")</x:f>
        <x:v>OK</x:v>
      </x:c>
    </x:row>
    <x:row r="22">
      <x:c r="A22" s="33" t="str">
        <x:v>W_OPPORTUNITY_FOCUS_Defend</x:v>
      </x:c>
      <x:c r="B22" s="33" t="str">
        <x:v>OPPORTUNITY_FOCUS</x:v>
      </x:c>
      <x:c r="C22" s="33" t="str">
        <x:v>Defend</x:v>
      </x:c>
      <x:c r="D22" s="34" t="n">
        <x:f>SUMIFS('Weight_Scenarios'!$F$2:$F$55,'Weight_Scenarios'!$A$2:$A$55,B22,'Weight_Scenarios'!$C$2:$C$55,C22)</x:f>
        <x:v>1</x:v>
      </x:c>
      <x:c r="E22" s="34" t="n">
        <x:v>1</x:v>
      </x:c>
      <x:c r="F22" s="34" t="n">
        <x:f>D22-E22</x:f>
        <x:v>0</x:v>
      </x:c>
      <x:c r="G22" s="33" t="str">
        <x:f>IF(ABS(F22)&lt;0.00001,"OK","FAIL")</x:f>
        <x:v>OK</x:v>
      </x:c>
    </x:row>
    <x:row r="23">
      <x:c r="A23" s="33" t="str">
        <x:v>SIGNAL_COUNT</x:v>
      </x:c>
      <x:c r="B23" s="33" t="str"/>
      <x:c r="C23" s="33" t="str"/>
      <x:c r="D23" s="34" t="n">
        <x:f>COUNTA('Signal_Rules'!$A$2:$A$38)</x:f>
        <x:v>37</x:v>
      </x:c>
      <x:c r="E23" s="34" t="n">
        <x:v>37</x:v>
      </x:c>
      <x:c r="F23" s="34" t="n">
        <x:f>D23-E23</x:f>
        <x:v>0</x:v>
      </x:c>
      <x:c r="G23" s="33" t="str">
        <x:f>IF(F23=0,"OK","FAIL")</x:f>
        <x:v>OK</x:v>
      </x:c>
    </x:row>
    <x:row r="24">
      <x:c r="A24" s="35" t="str">
        <x:v>EVIDENCE_COUNT</x:v>
      </x:c>
      <x:c r="B24" s="35" t="str"/>
      <x:c r="C24" s="35" t="str"/>
      <x:c r="D24" s="36" t="n">
        <x:f>COUNTA('Evidence'!$A$2:$A$8)</x:f>
        <x:v>7</x:v>
      </x:c>
      <x:c r="E24" s="36" t="n">
        <x:v>7</x:v>
      </x:c>
      <x:c r="F24" s="36" t="n">
        <x:f>D24-E24</x:f>
        <x:v>0</x:v>
      </x:c>
      <x:c r="G24" s="35" t="str">
        <x:f>IF(F24=0,"OK","FAIL")</x:f>
        <x:v>OK</x:v>
      </x:c>
    </x:row>
  </x:sheetData>
  <x:mergeCells>
    <x:mergeCell ref="A1:G2"/>
  </x:mergeCells>
  <x:conditionalFormatting sqref="G5:G24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